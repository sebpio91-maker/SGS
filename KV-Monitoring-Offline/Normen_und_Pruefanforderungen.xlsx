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Normen" sheetId="2" state="visible" r:id="rId4"/>
    <sheet name="Anwendungsbereiche" sheetId="3" state="visible" r:id="rId5"/>
    <sheet name="Prüfanforderungen" sheetId="4" state="visible" r:id="rId6"/>
    <sheet name="Prüfgrundlagen" sheetId="5" state="visible" r:id="rId7"/>
    <sheet name="MAK-Anforderungen" sheetId="6" state="visible" r:id="rId8"/>
  </sheets>
  <definedNames>
    <definedName function="false" hidden="true" localSheetId="2" name="_xlnm._FilterDatabase" vbProcedure="false">Anwendungsbereiche!$A$2:$F$30</definedName>
    <definedName function="false" hidden="true" localSheetId="5" name="_xlnm._FilterDatabase" vbProcedure="false">'MAK-Anforderungen'!$A$2:$O$195</definedName>
    <definedName function="false" hidden="true" localSheetId="1" name="_xlnm._FilterDatabase" vbProcedure="false">Normen!$A$2:$Q$123</definedName>
    <definedName function="false" hidden="true" localSheetId="3" name="_xlnm._FilterDatabase" vbProcedure="false">Prüfanforderungen!$A$2:$P$181</definedName>
    <definedName function="false" hidden="true" localSheetId="4" name="_xlnm._FilterDatabase" vbProcedure="false">Prüfgrundlagen!$A$2:$W$187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<sst xmlns="http://schemas.openxmlformats.org/spreadsheetml/2006/main" count="6405" uniqueCount="1590">
  <si>
    <t xml:space="preserve">KV-Monitoring — Normen und Prüfanforderungen</t>
  </si>
  <si>
    <t xml:space="preserve">Stand: Stammdaten aus KV-Monitoring.html (Commit dd4251e)</t>
  </si>
  <si>
    <t xml:space="preserve">Blatt</t>
  </si>
  <si>
    <t xml:space="preserve">Zeilen</t>
  </si>
  <si>
    <t xml:space="preserve">Was drinsteht</t>
  </si>
  <si>
    <t xml:space="preserve">Normen</t>
  </si>
  <si>
    <t xml:space="preserve">Alle Normen und Prüfprogramme mit Typ, Prüfungsart, SAP-Code, Preis, Kennzeichnungs-/BDA-Kennzeichen und Bemerkung. „Verwendet in PG“ zählt per Formel, in wie vielen Prüfgrundlagen die Norm steckt — 0 heißt: nirgends referenziert.</t>
  </si>
  <si>
    <t xml:space="preserve">Anwendungsbereiche</t>
  </si>
  <si>
    <t xml:space="preserve">Untergliederung einzelner Normen (z. B. „Filigrane Tische“) mit eigenem Preis.</t>
  </si>
  <si>
    <t xml:space="preserve">Prüfanforderungen</t>
  </si>
  <si>
    <t xml:space="preserve">Die Arbeitsliste: eine Zeile je geforderter Prüfung — Produkt × Norm × Prüfblock, mit Kosten für die 1. Prüfung und je weiterem Produkt. Leere Kosten sind gelb hinterlegt (im Tool „Preis auf Anfrage“).</t>
  </si>
  <si>
    <t xml:space="preserve">Prüfgrundlagen</t>
  </si>
  <si>
    <t xml:space="preserve">Eine Zeile je Produkt, mit Anzahl Muster, Bearbeitungsdauer und den drei Blöcken Sicherheit/Norm, FFU und NGO/StiWa. Die Summenspalten sind Formeln über das Blatt „Prüfanforderungen“. Die Spalte „Status“ markiert gelb, wo noch etwas fehlt: keine Norm zugeordnet oder 0 € hinterlegt.</t>
  </si>
  <si>
    <t xml:space="preserve">MAK-Anforderungen</t>
  </si>
  <si>
    <t xml:space="preserve">Der LIDL-Materialanforderungskatalog mit Anforderung, Norm EU/US und Mindest-Prüfnachweis.</t>
  </si>
  <si>
    <t xml:space="preserve">Funktionen in dieser Datei</t>
  </si>
  <si>
    <t xml:space="preserve">•</t>
  </si>
  <si>
    <t xml:space="preserve">Jede Kopfzeile hat einen Autofilter samt Suchfeld — das ersetzt die Filterkette Bereich → Warengruppe → Produkt und die Volltextsuche des Tools.</t>
  </si>
  <si>
    <t xml:space="preserve">Die Kopfzeile ist fixiert; beim Scrollen bleiben die Spaltentitel stehen.</t>
  </si>
  <si>
    <t xml:space="preserve">Summen und Zählungen stehen als Formeln (SUMIFS/COUNTIFS) in der Datei, nicht als eingefrorene Werte — wer eine Kostenzeile ändert, sieht die neue Blocksumme sofort.</t>
  </si>
  <si>
    <t xml:space="preserve">„Preis auf Anfrage“ entsteht wie im Tool: hat keine einzige Norm eines Blocks einen Betrag, steht dort kein 0 €, sondern der Text.</t>
  </si>
  <si>
    <t xml:space="preserve">Die technischen IDs stehen in ausgeblendeten Spalten (Normen: Q, Prüfanforderungen: P, Prüfgrundlagen: V). Sie verknüpfen die Blätter — bitte nicht löschen, sonst brechen die Formeln.</t>
  </si>
  <si>
    <t xml:space="preserve">Die Datei ist ein Auszug zum Lesen, Filtern und Weitergeben. Gepflegt wird weiterhin im Tool: Änderungen hier fließen nicht zurück.</t>
  </si>
  <si>
    <t xml:space="preserve">Alle Normen und Prüfprogramme aus dem Reiter „Normen“. Kopfzeile filtern/sortieren wie gewohnt; „Verwendet in PG“ zählt live, in wie vielen Prüfgrundlagen die Norm referenziert ist.</t>
  </si>
  <si>
    <t xml:space="preserve">Norm / Prüfprogramm</t>
  </si>
  <si>
    <t xml:space="preserve">Titel</t>
  </si>
  <si>
    <t xml:space="preserve">Typ</t>
  </si>
  <si>
    <t xml:space="preserve">Prüfungsart</t>
  </si>
  <si>
    <t xml:space="preserve">SAP-Code</t>
  </si>
  <si>
    <t xml:space="preserve">Preis</t>
  </si>
  <si>
    <t xml:space="preserve">Kennz.</t>
  </si>
  <si>
    <t xml:space="preserve">BDA</t>
  </si>
  <si>
    <t xml:space="preserve">LIDL-Block</t>
  </si>
  <si>
    <t xml:space="preserve">Anw.-bereiche</t>
  </si>
  <si>
    <t xml:space="preserve">Bemerkung</t>
  </si>
  <si>
    <t xml:space="preserve">PDF-Datei</t>
  </si>
  <si>
    <t xml:space="preserve">Hochgeladen</t>
  </si>
  <si>
    <t xml:space="preserve">Volltext</t>
  </si>
  <si>
    <t xml:space="preserve">Verwendet in PG</t>
  </si>
  <si>
    <t xml:space="preserve">ID</t>
  </si>
  <si>
    <t xml:space="preserve">004_PPM_FFU</t>
  </si>
  <si>
    <t xml:space="preserve">FFU-Prüfprogramm (PPM_FFU)</t>
  </si>
  <si>
    <t xml:space="preserve">Nein</t>
  </si>
  <si>
    <t xml:space="preserve">sicherheitNorm</t>
  </si>
  <si>
    <t xml:space="preserve">5c4e2c8f-7c83-4357-861a-685d033cad40</t>
  </si>
  <si>
    <t xml:space="preserve">038_PPM_FFU</t>
  </si>
  <si>
    <t xml:space="preserve">de17f5f0-3630-4b44-973e-107fdeefaafd</t>
  </si>
  <si>
    <t xml:space="preserve">064_PPM</t>
  </si>
  <si>
    <t xml:space="preserve">Prüfprogramm (PPM)</t>
  </si>
  <si>
    <t xml:space="preserve">85202135-425b-497e-a036-dfb3fdc19489</t>
  </si>
  <si>
    <t xml:space="preserve">102_PPM</t>
  </si>
  <si>
    <t xml:space="preserve">PSA beachten! | ggf. EE | Multiwinkel / Lineal / Zollstock / usw. | nicht trivial, wenn Verwendung auf Herd möglich | HG</t>
  </si>
  <si>
    <t xml:space="preserve">3256bf4d-e3db-4546-baa1-2197c227fc2f</t>
  </si>
  <si>
    <t xml:space="preserve">102_PPM 
in Anlehnung an EK5.2 PA 80-4.2.1
-&gt; Punkt 2
-&gt; Punkt 3 (ohne 3.6)
-&gt; Punkt 4.1</t>
  </si>
  <si>
    <t xml:space="preserve">ggf. Auslobung nach DIN 6439 DIN 6440 &amp; DIN 6441
DIN 7216</t>
  </si>
  <si>
    <t xml:space="preserve">20761c1b-d111-4943-b1d9-e11656799d04</t>
  </si>
  <si>
    <t xml:space="preserve">102_PPM + Belastungsprüfung</t>
  </si>
  <si>
    <t xml:space="preserve">fa0a5f3f-754a-4ba8-93a4-c2dbeda77b95</t>
  </si>
  <si>
    <t xml:space="preserve">102_PPM + Belastungsprüfung 
(1,5-fache Nennlast für 60min.)</t>
  </si>
  <si>
    <t xml:space="preserve">für alle Eimer, die auf einer Baustelle verwendet werden können</t>
  </si>
  <si>
    <t xml:space="preserve">e2fa8876-d62b-476a-811a-d17570291269</t>
  </si>
  <si>
    <t xml:space="preserve">102_PPM + Zugprüfung in Anlehnung an DIN EN ISO 2307</t>
  </si>
  <si>
    <t xml:space="preserve">a0b303e2-e5d4-4d78-9348-947103a562fe</t>
  </si>
  <si>
    <t xml:space="preserve">102_PPM in Anlehnung an DIN EN 71-1</t>
  </si>
  <si>
    <t xml:space="preserve">0a02560c-7778-4400-ad87-0709f2a4825e</t>
  </si>
  <si>
    <t xml:space="preserve">102_PPM_TGS_REV_B mit Belastung in Anlehnung an HHJ126550_PPM_TGS_V5_Pet Leash</t>
  </si>
  <si>
    <t xml:space="preserve">Norm (extern)</t>
  </si>
  <si>
    <t xml:space="preserve">3349ba18-9e5d-4d33-a0c6-54a18dc53ba8</t>
  </si>
  <si>
    <t xml:space="preserve">110_PPM_FFU</t>
  </si>
  <si>
    <t xml:space="preserve">a8613652-bb0a-4b32-9ad7-11d42bb50b26</t>
  </si>
  <si>
    <t xml:space="preserve">111_PPM</t>
  </si>
  <si>
    <t xml:space="preserve">1ab095f7-924f-4566-95f3-abd6f6792a29</t>
  </si>
  <si>
    <t xml:space="preserve">113_PPM</t>
  </si>
  <si>
    <t xml:space="preserve">Artikelkategorie bei LIDL beachten!</t>
  </si>
  <si>
    <t xml:space="preserve">6d8434d0-8905-4506-9cb2-8af84e8ecc93</t>
  </si>
  <si>
    <t xml:space="preserve">131_PPM_TGS_REV_A</t>
  </si>
  <si>
    <t xml:space="preserve">91198e93-ecd8-48b0-8e49-4ea7ad96aa61</t>
  </si>
  <si>
    <t xml:space="preserve">163_PPM_FFU</t>
  </si>
  <si>
    <t xml:space="preserve">in Anlehnung an StiWa 06/2014</t>
  </si>
  <si>
    <t xml:space="preserve">cf713cbc-1e22-47cc-92dc-e9f6f482519e</t>
  </si>
  <si>
    <t xml:space="preserve">178_PPM_FFU</t>
  </si>
  <si>
    <t xml:space="preserve">e6fa722c-4f1e-448c-b636-75cfd6296881</t>
  </si>
  <si>
    <t xml:space="preserve">515_PPM_FFU_REV_A_Schraubstock</t>
  </si>
  <si>
    <t xml:space="preserve">964cbca6-aff5-4621-85e6-772dcfa213f4</t>
  </si>
  <si>
    <t xml:space="preserve">516_PPM_FFU</t>
  </si>
  <si>
    <t xml:space="preserve">fa56a1ac-10ec-4acb-894c-ec99116521df</t>
  </si>
  <si>
    <t xml:space="preserve">519_PPM_FFU</t>
  </si>
  <si>
    <t xml:space="preserve">527ec958-ca26-4d8c-8d66-fb254651c802</t>
  </si>
  <si>
    <t xml:space="preserve">Akkusicherheitskurzcheck (163_PPM)</t>
  </si>
  <si>
    <t xml:space="preserve">163_PPM_TS</t>
  </si>
  <si>
    <t xml:space="preserve">bb9249f2-f42b-489c-be9b-2def4cfef879</t>
  </si>
  <si>
    <t xml:space="preserve">DIN 1193 (Latthammer DIN 7239) (Schlosserhammer DIN 1041), (Maurerhammer DIN 5108), (Gummihammer DIN 5128), (Klauenhammer ???) (Holzstiel bis 2kg DIN 5111, Holzstiel über 2kg DIN 5112) (Holz- u Kunststoffstiele EK5 AK2 PA 80-8.1.1 2017-10)</t>
  </si>
  <si>
    <t xml:space="preserve">MECH_S_NORM_TS</t>
  </si>
  <si>
    <t xml:space="preserve">1a3e2b97-ede0-4478-9ed7-9c214a19faa2</t>
  </si>
  <si>
    <t xml:space="preserve">DIN 5117</t>
  </si>
  <si>
    <t xml:space="preserve">ccc203b0-c405-41e9-ae1a-b09b6bb01a8f</t>
  </si>
  <si>
    <t xml:space="preserve">DIN 968 &amp; DIN EN ISO 1478 &amp; DIN EN ISO 3506-4</t>
  </si>
  <si>
    <t xml:space="preserve">b124db66-45a3-4f4e-9917-2a0eeafe1718</t>
  </si>
  <si>
    <t xml:space="preserve">DIN 976-1</t>
  </si>
  <si>
    <t xml:space="preserve">f9d4394d-4e61-4682-bc19-75e3080add0a</t>
  </si>
  <si>
    <t xml:space="preserve">DIN EN 10230-1 &amp;DIN EN 14592</t>
  </si>
  <si>
    <t xml:space="preserve">866c158c-821d-4beb-ad86-2039ed44b8ae</t>
  </si>
  <si>
    <t xml:space="preserve">DIN EN 12521:2023</t>
  </si>
  <si>
    <t xml:space="preserve">3eb8ccc2-1861-425b-8f4d-f792f2f82848</t>
  </si>
  <si>
    <t xml:space="preserve">DIN EN 12521:2023 / Anforderungen für filigrane Tische</t>
  </si>
  <si>
    <t xml:space="preserve">25e078d7-7dcb-444c-a798-182580a429ec</t>
  </si>
  <si>
    <t xml:space="preserve">DIN EN 12546-1</t>
  </si>
  <si>
    <t xml:space="preserve">fa058e46-5aea-4158-ac82-fd4861bfd1fc</t>
  </si>
  <si>
    <t xml:space="preserve">DIN EN 13120 (inkl. DIN EN 16434)</t>
  </si>
  <si>
    <r>
      <rPr>
        <sz val="10"/>
        <rFont val="Arial"/>
        <family val="0"/>
        <charset val="1"/>
      </rPr>
      <t xml:space="preserve">Musterzahl beachten! 
+ zusätzlich 12 Sicherheitseinrichtungen! (abs. Minimum 8) 
Ablauf in der Norm beachten!! UV-Belichtung notwendig nach DIN EN 16434
Muster Asien Rollo DIN EN 13120 Abschn 8 (inkl. DIN EN 16434)
2x größter und 2x kleinster Style wird für Prüfung benötigt + 4x Sicherheitsclips
"Guarantee letter-General" ausfüllen senden + in Versandkarton legen + „Dispatch samples Form </t>
    </r>
    <r>
      <rPr>
        <sz val="10"/>
        <rFont val="WenQuanYi Zen Hei"/>
        <family val="2"/>
      </rPr>
      <t xml:space="preserve">寄样单</t>
    </r>
    <r>
      <rPr>
        <sz val="10"/>
        <rFont val="Arial"/>
        <family val="0"/>
        <charset val="1"/>
      </rPr>
      <t xml:space="preserve">Fion-General“ auf Versandkarton kleben
Kosten 1936€ (Lidl) 25 AT
Muster Tstn: 1x je Style DIN EN 13120 Abschn 15 
(13.12.24 SH)</t>
    </r>
  </si>
  <si>
    <t xml:space="preserve">a362c1e5-d2bd-408e-99e7-ea7b3230c740</t>
  </si>
  <si>
    <t xml:space="preserve">DIN EN 13120 Pkt 8.2.2 (EN 16433) + 15</t>
  </si>
  <si>
    <t xml:space="preserve">(ohne Schlaufe) Asien</t>
  </si>
  <si>
    <t xml:space="preserve">f795ebb9-7e34-4c53-9cc8-54a10d0d5459</t>
  </si>
  <si>
    <t xml:space="preserve">DIN EN 13834</t>
  </si>
  <si>
    <t xml:space="preserve">fa7e6f3d-428b-40d3-9800-83dea3261fb5</t>
  </si>
  <si>
    <t xml:space="preserve">DIN EN 13843</t>
  </si>
  <si>
    <t xml:space="preserve">f0fc9126-1d6b-44af-b542-64179693933b</t>
  </si>
  <si>
    <t xml:space="preserve">DIN EN 14468-1</t>
  </si>
  <si>
    <t xml:space="preserve">a06c6fc6-470c-4018-8fc7-130a7d953f0b</t>
  </si>
  <si>
    <t xml:space="preserve">DIN EN 14749</t>
  </si>
  <si>
    <t xml:space="preserve">a982a9b1-93b2-4bd1-ba5a-8e6f4511692c</t>
  </si>
  <si>
    <t xml:space="preserve">DIN EN 17885</t>
  </si>
  <si>
    <t xml:space="preserve">4528b97e-6f0d-46f9-ac90-346abb9188ac</t>
  </si>
  <si>
    <t xml:space="preserve">DIN EN 1860-1</t>
  </si>
  <si>
    <t xml:space="preserve">Gasgeräteverordnung! CE-Zeichen! KE nötig. Prüfung über Asien | Für GS-Projekte EK-Beschlussliste EK5/AK8 beachten!</t>
  </si>
  <si>
    <t xml:space="preserve">096ca6dc-0cba-4b64-b0c3-5c0fae23aa75</t>
  </si>
  <si>
    <t xml:space="preserve">DIN EN 1992-4</t>
  </si>
  <si>
    <t xml:space="preserve">a9ecaab4-bb8d-4698-b17b-7bb19724c94a</t>
  </si>
  <si>
    <t xml:space="preserve">DIN EN 20957</t>
  </si>
  <si>
    <t xml:space="preserve">fc88926a-57b0-4cc2-b4db-d7cdf571913c</t>
  </si>
  <si>
    <t xml:space="preserve">DIN EN 32935</t>
  </si>
  <si>
    <t xml:space="preserve">4aad3924-d29d-4e42-9ad3-aea64305d835</t>
  </si>
  <si>
    <t xml:space="preserve">DIN EN 527-1 / -2</t>
  </si>
  <si>
    <t xml:space="preserve">13a8d85c-d0bf-4ed3-8ddd-a4a8dbb405b3</t>
  </si>
  <si>
    <t xml:space="preserve">DIN EN 581- 1 2017</t>
  </si>
  <si>
    <t xml:space="preserve">Außenmöbel - Sitzmöbel und Tische für den Camping-, Wohn- und Objektbereich - Teil 1: Allgemeine sicherheitstechnische Anforderungen</t>
  </si>
  <si>
    <t xml:space="preserve">EN 581- 1_2017(D) (3).pdf</t>
  </si>
  <si>
    <t xml:space="preserve">2026-07-29</t>
  </si>
  <si>
    <t xml:space="preserve">Ja</t>
  </si>
  <si>
    <t xml:space="preserve">fac191bd-6a83-4234-b45b-e43fb36d1ed2</t>
  </si>
  <si>
    <t xml:space="preserve">DIN EN 581-2 2017-01</t>
  </si>
  <si>
    <t xml:space="preserve">Außenmöbel – Sitzmöbel und Tische für den Camping-, Wohn- und Objektbereich</t>
  </si>
  <si>
    <t xml:space="preserve">Campingbereich | Wohnbereich | Objektbereich</t>
  </si>
  <si>
    <t xml:space="preserve">DIN EN 581-2 (2017-01) (2).pdf</t>
  </si>
  <si>
    <t xml:space="preserve">4c3e2423-c825-4b48-9899-ae8b5f7dc6cb</t>
  </si>
  <si>
    <t xml:space="preserve">DIN EN 581-3 2017</t>
  </si>
  <si>
    <t xml:space="preserve">Außenmöbel - Sitzmöbel und Tische für den Camping-, Wohn- und Objektbereich - Teil 3: Mechanische Sicherheitsanforderungen für Tische</t>
  </si>
  <si>
    <t xml:space="preserve">Anwendungsbereich | Normative Verweisungen | Begriffe | Außenmöbel für den Objektbereich | Außenmöbel für den Wohnbereich | Außenmöbel für den Campingbereich | Straßenmöbel | Prüfung | Anforderungen an die Sicherheit, Festigkeit und Dauerhaltbarkeit | Allgemeines | Standsicherheit, Festigkeit und Dauerhaltbarkeit | Prüfreihenfolge und Prüfparameter | Festgelegte Kraft, N | Festgelegte Kraft, N | Festgelegte Kraft, N | Festgelegte Kraft, N | Festgelegte Kraft, N | Festgelegte Last des | Anforderungen | Gebrauchsanleitung | Prüfbericht | Anhang A</t>
  </si>
  <si>
    <t xml:space="preserve">EN 581-3_2017 (1).pdf</t>
  </si>
  <si>
    <t xml:space="preserve">40f5233c-1431-451c-bdf5-c2af3c1cd41d</t>
  </si>
  <si>
    <t xml:space="preserve">DIN EN ISO 20957-1</t>
  </si>
  <si>
    <t xml:space="preserve">665f9c41-7a18-4802-8d30-bc90391c131a</t>
  </si>
  <si>
    <t xml:space="preserve">DIN EN ISO 20957-4</t>
  </si>
  <si>
    <t xml:space="preserve">72d86c89-01e9-4b47-a15b-9090a3e738f1</t>
  </si>
  <si>
    <t xml:space="preserve">DIN EN ISO 4014 &amp;DIN 13-20</t>
  </si>
  <si>
    <t xml:space="preserve">a04d9476-8979-47c0-879f-07fa008209f4</t>
  </si>
  <si>
    <t xml:space="preserve">EK2 / AK2.4 22-01:2022</t>
  </si>
  <si>
    <t xml:space="preserve">Vollprüfung in TSN nicht möglich!</t>
  </si>
  <si>
    <t xml:space="preserve">a3e2e183-7f84-4a25-a8a0-a70bd9d1ea57</t>
  </si>
  <si>
    <t xml:space="preserve">EK2-AK2.4 17-01</t>
  </si>
  <si>
    <t xml:space="preserve">3f9f1e57-fe4a-4354-9966-977d53854e6b</t>
  </si>
  <si>
    <t xml:space="preserve">EK5 / TA6 14-01:2023 (Drucksprühgerät &gt;3L)</t>
  </si>
  <si>
    <t xml:space="preserve">CE-Kennzeichnung! KE nötig.
Die Einstufung der Geräte erfolgt nach Artikel 9 der Druckgeräterichtlinie
Punkt 8 Kunststoffe schriftliche 
Unbedenklichkeitserklärungen</t>
  </si>
  <si>
    <t xml:space="preserve">d8efe139-cefa-48c4-b63b-4cd5a31d10bb</t>
  </si>
  <si>
    <t xml:space="preserve">EK5-AK5 14-04.0-2014 PfG Transportroller / Möbelroller</t>
  </si>
  <si>
    <t xml:space="preserve">b3544b36-0815-46e3-ad48-07a8a68cad55</t>
  </si>
  <si>
    <t xml:space="preserve">EK5/AK2 12-05:2012</t>
  </si>
  <si>
    <t xml:space="preserve">114d47b0-6738-4643-844e-b3d06ea22d28</t>
  </si>
  <si>
    <t xml:space="preserve">EK5/AK2 18-01:2018</t>
  </si>
  <si>
    <t xml:space="preserve">245dfe05-56ca-49a4-af8d-966ba016dab1</t>
  </si>
  <si>
    <t xml:space="preserve">EK5/AK2 21-02:2021</t>
  </si>
  <si>
    <t xml:space="preserve">fab311aa-14ed-4717-b36f-4a0b1ef6811a</t>
  </si>
  <si>
    <t xml:space="preserve">EK5/AK2 21-02:2021 inkl. Beschluss EK5/AK2 17/10-1</t>
  </si>
  <si>
    <t xml:space="preserve">74bf0a79-1b67-426a-b233-723b3332bfbf</t>
  </si>
  <si>
    <t xml:space="preserve">EK5/AK2 23-02:2023</t>
  </si>
  <si>
    <t xml:space="preserve">8fcc0f13-e973-4c28-a5c8-22bb0473922b</t>
  </si>
  <si>
    <t xml:space="preserve">EK5/AK2 23-1-2023</t>
  </si>
  <si>
    <t xml:space="preserve">6240e52b-2ee0-4a8c-8d11-cd14c568a67b</t>
  </si>
  <si>
    <t xml:space="preserve">EK5/AK3 22-01:2022 Prüfgrundsatz für die Sicherheit von Schwerlastregalen im Wohnbereich (bis 800kg)
(DIN EN 14749:2016 (DIN EN 16122:2012) und DGUV Regel 108-007 (EK5AK3 22-01 Punkt 5.4.2.2))</t>
  </si>
  <si>
    <t xml:space="preserve">Korrosion 
Alle Metallteile müssen ausreichend gegen  Korrosion geschützt sein.</t>
  </si>
  <si>
    <t xml:space="preserve">af9dbee7-e78d-4af0-a6f7-c861b0d6254f</t>
  </si>
  <si>
    <t xml:space="preserve">EK5/AK5 06-01.3:2011</t>
  </si>
  <si>
    <t xml:space="preserve">UV-Beständigkeit
Tragende Teile aus Kunststoff
Korrosion
nach DIN EN ISO 6270-2, 5 Zyklen
nicht erfordlerlich bei galvanisch- oder pulverbeschichteten Bauteilen</t>
  </si>
  <si>
    <t xml:space="preserve">6ebda21c-a175-45fa-a8d5-84d78977781f</t>
  </si>
  <si>
    <t xml:space="preserve">EK5/AK5 14-04.0-2014</t>
  </si>
  <si>
    <t xml:space="preserve">Korrosion (EN ISO 4628-3) wenn Bauteile nicht durch Lackierung, Beschichtung , Werkstoffauswahl geschützt, Note Ri = 1
Künstliche Alterung bei Kunststoffbodenplatte 
ISO 4892 500h Kerbschlagbiegeprüfung (20% Reduzierung im Vergl. zur unbehandelten Probe)
im EK gefordert: Typenschild + Herstellererklärung zur Tragfähigkeit der Rollen + der verwendeten Materialien</t>
  </si>
  <si>
    <t xml:space="preserve">4909be01-3669-4c59-a9e0-f9c6c6f8a5f1</t>
  </si>
  <si>
    <t xml:space="preserve">EK5/AK7  18-01:2018 Prüfgrundsatz für die Sicherheit von Christbaumständern</t>
  </si>
  <si>
    <t xml:space="preserve">CE-Kennzeichnung! KE nötig.</t>
  </si>
  <si>
    <t xml:space="preserve">4cac07bb-0b4f-4684-9695-67afebc2e799</t>
  </si>
  <si>
    <t xml:space="preserve">EK5/AK8 12-03.1:2012</t>
  </si>
  <si>
    <t xml:space="preserve">Herstellernachweis für tragende Kunststoffteile
Der Kunststoff muss UV- und temperaturbeständig (min. 60°C) sein.  
Es wird ausschließlich ein Nachweis (z.B. Datenblatt etc.) vom Kunststoffhersteller akzeptiert. 
Korrosionsbeständigkeit 
Metalle müssen korrosionsgeschützt (Lackierung, Pulverbeschichtung, verzinkt) sein. 
Aluminium gilt als korrosionsbeständig.</t>
  </si>
  <si>
    <t xml:space="preserve">bb4fa35e-36d0-45fd-9b39-8b60eb9a2bcd</t>
  </si>
  <si>
    <t xml:space="preserve">EK5/AK8 12-04.1:2012</t>
  </si>
  <si>
    <t xml:space="preserve">Korrosionsbeständigkeit 
Metalle müssen korrosionsgeschützt (Lackierung, Pulverbeschichtung, verzinkt) sein. Aluminium gilt als korrosionsbeständig. 
Herstellernachweis für tragende Kunststoffteile Der Kunststoff muss UV- und temperaturbeständig (min. 60°C) sein.  Es wird ausschließlich ein Nachweis (z.B. Datenblatt etc.) vom Kunststoffhersteller akzeptiert.</t>
  </si>
  <si>
    <t xml:space="preserve">c10b8070-230f-45f9-8a06-6d70a33d6480</t>
  </si>
  <si>
    <t xml:space="preserve">EK5/AK8 13-05.02:2017 (Gartenbewässerungsartikel)</t>
  </si>
  <si>
    <t xml:space="preserve">CE-Kennzeichnung! KE nötig. | Verkaufsverpackung bereits im PRE-Test prüfen! Warnhinweise müssen vorhanden sein!</t>
  </si>
  <si>
    <t xml:space="preserve">d1aafd9c-be90-4906-b6de-806ab2688566</t>
  </si>
  <si>
    <t xml:space="preserve">EN 14545</t>
  </si>
  <si>
    <t xml:space="preserve">6d7a88b1-2499-4782-8c78-1d6eb834785b</t>
  </si>
  <si>
    <t xml:space="preserve">EN ISO 19932-1 &amp; -2:2013</t>
  </si>
  <si>
    <t xml:space="preserve">/ :2022 ist noch im Entwurf</t>
  </si>
  <si>
    <t xml:space="preserve">f3dc8af5-f6fd-4d86-811f-d3879ee03eb7</t>
  </si>
  <si>
    <t xml:space="preserve">FFU Prüfung: Tretwiderstand mit Ergometerprüfstand und Software DasyLab 13.0 (Funktion wurde bereits geprüft) prüfen;Tretwiderstand min. 20W+ max. Benutzergewicht 100kg</t>
  </si>
  <si>
    <t xml:space="preserve">cd640978-3726-4ff0-838d-d311c05c98de</t>
  </si>
  <si>
    <t xml:space="preserve">FFU im Feld mit Probanden (162_PPM_TGS_Kosmetikspiegel mit Beleuchtung) FFU Prüfung nach internem PPM</t>
  </si>
  <si>
    <t xml:space="preserve">9775bf1e-f7c6-4cee-a0bd-2e20d5a35a1c</t>
  </si>
  <si>
    <t xml:space="preserve">FFU laborintern ohne Probanden 30SER (70%/50%/10-30%)
FFU Prüfung nach internem PPM (nur Falls im PA angegeben)
Laborintern ohne Prüfung der Gebrauchstauglichkeit mittels Probanden. Es werden Punkte zur Funktionalität, Verarbeitungsqualität, Verständlichkeit der BDA geprüft)</t>
  </si>
  <si>
    <t xml:space="preserve">4cce19ab-a281-4aa2-8d34-da5248f19d6a</t>
  </si>
  <si>
    <t xml:space="preserve">FFU/Fitting</t>
  </si>
  <si>
    <t xml:space="preserve">FFU_TS</t>
  </si>
  <si>
    <t xml:space="preserve">0b29b343-6d28-4d87-b45b-b61b7f8727cc</t>
  </si>
  <si>
    <t xml:space="preserve">ISO 22702</t>
  </si>
  <si>
    <t xml:space="preserve">857841bc-c2e4-4173-ad22-0a4731d284de</t>
  </si>
  <si>
    <t xml:space="preserve">NGO</t>
  </si>
  <si>
    <t xml:space="preserve">1cda3cf4-4728-4de2-98e3-596ad8017562</t>
  </si>
  <si>
    <t xml:space="preserve">Optischer Abgleich (112_PPM)</t>
  </si>
  <si>
    <t xml:space="preserve">8d5a2d20-2a12-4a90-9109-cd659d40f135</t>
  </si>
  <si>
    <t xml:space="preserve">PA 80-3-5.2</t>
  </si>
  <si>
    <t xml:space="preserve">d3ffbd4f-aa15-4ea5-9399-cad35d6a3f6e</t>
  </si>
  <si>
    <t xml:space="preserve">Prüfungen zur Bewertung der Gebrauchseigenschaften analog Test Report SR_6426734_01_A     IAN_417565</t>
  </si>
  <si>
    <t xml:space="preserve">511e4382-878c-4993-8557-ca589d7c761a</t>
  </si>
  <si>
    <t xml:space="preserve">Referenzprüfung</t>
  </si>
  <si>
    <t xml:space="preserve">42986e90-3979-494d-a802-bbc45327414d</t>
  </si>
  <si>
    <t xml:space="preserve">Risikobasierte Normprüfung/Teilprüfung
- Erwärmung
- Schlagprüfung
- Fallprüfung
Sicherheit / Normprüfung - Produktsicherheit
Akku-Sicherheitskurzcheck
Produkte mit Akku jeder Größe werden nach 163_PPM_TGS_REV_A_ Akku-Sicherheitskurzcheck Lidl geprüft</t>
  </si>
  <si>
    <t xml:space="preserve">EE</t>
  </si>
  <si>
    <t xml:space="preserve">437bf200-54c7-4897-85a0-f39763e6edec</t>
  </si>
  <si>
    <t xml:space="preserve">Sicherheit / Normprüfung - Produktsicherheit
Für E&amp;E Produkte immer nur Kurzprüfungen im Labor
Kosten richten sich Produktart 
EK5/AK8 13-05.02:2017
- Cl. 4.6 Überdruck
- Cl. 4.7 Fallprüfung</t>
  </si>
  <si>
    <t xml:space="preserve">46b29c32-a218-4adf-a795-7d631143f9ac</t>
  </si>
  <si>
    <t xml:space="preserve">Sicherheit / Normprüfung - Produktsicherheit
Prüfung der mech. Sicherheit 102_PPM</t>
  </si>
  <si>
    <t xml:space="preserve">8b0a28a2-ea19-4ce3-8830-bed0e08a4cc4</t>
  </si>
  <si>
    <t xml:space="preserve">Sicherheit / Normprüfung - Produktsicherheit
Teilprüfung der elektrischen Sicherheit nach EN 60335-2-8
Risikobasierte Teilprüfung
- Hochspannung
- Leistungsaufnahme
- Luft- und Kriechstrecken
- Erwärmungsprüfung</t>
  </si>
  <si>
    <t xml:space="preserve">7722e7f7-d540-4e41-b3cf-850f026758c4</t>
  </si>
  <si>
    <t xml:space="preserve">Sicherheit / Normprüfung - Produktsicherheit
Teilprüfung nach DIN EN 60998-2-1
Teilprüfung nach DIN EN 60684-1</t>
  </si>
  <si>
    <t xml:space="preserve">16ca9a06-5f93-4109-a1c0-fcab52df3526</t>
  </si>
  <si>
    <t xml:space="preserve">Sicherheit / Normprüfung - Produktsicherheit
Teilprüfung nach EN 60335-2-23
Sicherheit / Normprüfung - Produktsicherheit
Akku-Sicherheitskurzcheck
Produkte mit Akku jeder Größe werden nach 163_PPM_TGS_REV_A_ Akku-Sicherheitskurzcheck Lidl geprüft</t>
  </si>
  <si>
    <t xml:space="preserve">686f9abe-0333-494f-87a9-021e92269058</t>
  </si>
  <si>
    <t xml:space="preserve">Sicherheit / Normprüfung - Produktsicherheit
Teilprüfung nach EN 60335-2-8
- Normalerwärmung
- Abnormal
- Droptest
- HV Test
- Luft- und Kriechstrecken
- Glühdraht</t>
  </si>
  <si>
    <t xml:space="preserve">1483591c-2592-475e-9849-7b855385bd4a</t>
  </si>
  <si>
    <t xml:space="preserve">Sicherheit / Normprüfung - Produktsicherheit
Teilprüfungprüfung nach 0100_PPM
- Glühdrahtprüfung 550 °C
- Scharfe Ecken und Kanten
Teilprüfung nach EN ISO 20957-5
- 5.2.1 Übertragungselemente und sich drehende Teile</t>
  </si>
  <si>
    <t xml:space="preserve">1bc56f20-3dda-4798-8b33-49123833dfaf</t>
  </si>
  <si>
    <t xml:space="preserve">Sicherheit / Normprüfung - Produktsicherheit     Teilprüfung Anlehnung an 100_PPM
- IP44
- Glühdraht
Akku-Sicherheitskurzcheck
Produkte mit Akku jeder Größe werden nach 163_PPM_TGS_REV_A_ Akku-Sicherheitskurzcheck Lidl geprüft</t>
  </si>
  <si>
    <t xml:space="preserve">Tiervertreiber Universal 
Sicherheit / Normprüfung - Produktsicherheit
Für E&amp;E Produkte immer nur Kurzprüfungen im Labor
Anlehnung an 100_PPM
- IP44
- Glühdraht                                                  750€
Sicherheit / Normprüfung - Produktsicherheit
Akku-Sicherheitskurzcheck
Produkte mit Akku jeder Größe werden nach 163_PPM_TGS_REV_A_ Akku-Sicherheitskurzcheck Lidl geprüft                                                             950€
Tiervertreiber Maulwurf
Sicherheit / Normprüfung - Produktsicherheit
Teilprüfung nach 0100_PPM
- Kurzschluss
- Erwärmung
- Mech. Festigkeit
- etc.                                                                 750€</t>
  </si>
  <si>
    <t xml:space="preserve">7267507c-95d9-4c15-8d9f-b4cec9411873</t>
  </si>
  <si>
    <t xml:space="preserve">Sicherheit / Normprüfung - Produktsicherheit Teilprüfung
Schneidklemmen (CE): EN 60998-2-3
- Cl.17 - Luft- und Kriechstrecken
- Cl. 13.3 &amp; 13.4 Hochspannung &amp; Isolationsprüfung
- Cl.16.3 Kugeldruckpr.
- Cl. 18 Glühdrahtpr.
Sicherheit / Normprüfung - Produktsicherheit Teilprüfung
Klettkabelinder: 102_PPM
Sicherheit / Normprüfung - Produktsicherheit Teilprüfung
Verbindersortiment und Schelle: 102_PPM
Schrumpfschlauch: 102_PPM
Krokodilklemmen (24 V): 102_PPM</t>
  </si>
  <si>
    <t xml:space="preserve">d7f97377-77f3-408b-8837-c5bf1de5e8f9</t>
  </si>
  <si>
    <t xml:space="preserve">Sicherheit- / Normprüfung
- Erwärmung
- Schlagprüfung
- Fallprüfung
Sicherheit / Normprüfung - Produktsicherheit
Akku-Sicherheitskurzcheck
Produkte mit Akku jeder Größe werden nach 163_PPM_TGS_REV_A_ Akku-Sicherheitskurzcheck Lidl geprüft</t>
  </si>
  <si>
    <t xml:space="preserve">8a1f513a-7fae-4bc4-87cd-2ce6cad012a7</t>
  </si>
  <si>
    <t xml:space="preserve">Sicherheit- / Normprüfung
EN 60598-2
-Cl. 4.12 - Prüfung der Dauerhaftigkeit und der Erwärmung	
-Cl. 4.15 - Wärmebeständigkeit, Feuerbeständigkeit und Kriechstromfestigkeit</t>
  </si>
  <si>
    <t xml:space="preserve">2ff7fea9-ba6b-44a4-91b3-928f857b3e24</t>
  </si>
  <si>
    <t xml:space="preserve">Sicherheit- / Normprüfung
Teilprüfung nach EN IEC 62275:2019
- 8 Aufbau
- 9.2 Installationsprüfung</t>
  </si>
  <si>
    <t xml:space="preserve">2f935344-f2bc-47f3-b3f7-0af79e5db04e</t>
  </si>
  <si>
    <t xml:space="preserve">Sicherheit- / Normprüfung  / Laborprüfzeit 300 min.
risikobasierte Teilprüfung nach 0100_PPM 750€
- Kurzschluss
- Erwärmung
- Mech. Festigkeit
- Zugägnlichkeit der Knopfzellen
- etc.
Sicherheit- / Normprüfung / Laborprüfzeit 270 min.
102_PPM Mechanische Sicherheit 660€</t>
  </si>
  <si>
    <t xml:space="preserve">1c77f174-0f14-4078-be76-0ff20620face</t>
  </si>
  <si>
    <t xml:space="preserve">Sicherheit- / Normprüfung Teilprüfung in Anlehnung an 
EN IEC 62775:2019 und EN 60998-2-3:2004 und allgemeine Sicherheit</t>
  </si>
  <si>
    <t xml:space="preserve">3f704f21-adb4-43ae-ba85-faaa417789c3</t>
  </si>
  <si>
    <t xml:space="preserve">Sicherheit-/Normprüfung
Teilprüfung nach EN 60335-2-8</t>
  </si>
  <si>
    <t xml:space="preserve">b3e738bb-b905-4da6-874f-8c1169d80ae3</t>
  </si>
  <si>
    <t xml:space="preserve">StiWa 06/2014</t>
  </si>
  <si>
    <t xml:space="preserve">StiWa-Programm</t>
  </si>
  <si>
    <t xml:space="preserve">773cd427-cd59-4fc5-aedd-c263bc32a49d</t>
  </si>
  <si>
    <t xml:space="preserve">78059485-5819-4a0f-95d5-59f3c508b4ee</t>
  </si>
  <si>
    <t xml:space="preserve">StiWa 12/2014</t>
  </si>
  <si>
    <t xml:space="preserve">Untervergabe zur VPA für alle Prüfungen, die die IDN EN 8442-5 betreffen (Kontakt: Sabine Amme (s.amme@vpa-gmbh.de)- Anfangsschärfe- SchneidhaltigkeitSpülmaschineneignung (125 Zyklen) separat beauftragen</t>
  </si>
  <si>
    <t xml:space="preserve">c0d9ce70-87c6-44b3-bcb6-6b1306fa1ed7</t>
  </si>
  <si>
    <t xml:space="preserve">StiWa 12/2014
Untervergabe zur VPA für alle Prüfungen, die die IDN EN 8442-5 betreffen (Kontakt: Sabine Amme (s.amme@vpa-gmbh.de)
- Anfangsschärfe
- Schneidhaltigkeit
Spülmaschineneignung (125 Zyklen) separat beauftragen</t>
  </si>
  <si>
    <t xml:space="preserve">8fe53f06-e7e5-493f-ba65-5fba6cb85273</t>
  </si>
  <si>
    <t xml:space="preserve">StiWa Heft 11/2023</t>
  </si>
  <si>
    <t xml:space="preserve">Laborprüfungen TaunussteinProbandenprüfungen Wörgl
HG12775:Der Artikel ist in Bezug auf [Schnittleistung] mindestens gleichwertig mit [Braun Bartschneider Serie 9BT9440] der Marke [Braun].</t>
  </si>
  <si>
    <t xml:space="preserve">49c57d01-9cce-45d0-a7a3-05c7a0d9fc16</t>
  </si>
  <si>
    <t xml:space="preserve">StiWa Heft 11/2023
Laborprüfungen Taunusstein
Probandenprüfungen Wörgl
HG12775:Der Artikel ist in Bezug auf [Schnittleistung] mindestens gleichwertig mit [Braun Bartschneider Serie 9
BT9440] der Marke [Braun].</t>
  </si>
  <si>
    <t xml:space="preserve">07f8611b-3f07-4627-89be-9ae37ebc2200</t>
  </si>
  <si>
    <t xml:space="preserve">Tbd</t>
  </si>
  <si>
    <t xml:space="preserve">4eb048bf-aa24-42b9-81ac-4715a3aac5ac</t>
  </si>
  <si>
    <t xml:space="preserve">Teilprüfung nach 1992-4 (Mech)
Teilprüfung nach DIN EN 62275 (Kabelbinder)</t>
  </si>
  <si>
    <t xml:space="preserve">16d6bba2-278c-4c91-bc46-054212f12c4b</t>
  </si>
  <si>
    <t xml:space="preserve">in Anlehnung an / according to
EK5/AK2 18-01</t>
  </si>
  <si>
    <t xml:space="preserve">1a6838ad-331b-4054-a5df-cb108d5252f1</t>
  </si>
  <si>
    <t xml:space="preserve">in Anlehnung an DIN EN 13834</t>
  </si>
  <si>
    <t xml:space="preserve">789f0c8f-febe-45af-b222-3b7629437c5a</t>
  </si>
  <si>
    <t xml:space="preserve">in Anlehnung an DIN EN 14749</t>
  </si>
  <si>
    <t xml:space="preserve">5cddd89d-855b-435f-b98f-b44babb5c8a6</t>
  </si>
  <si>
    <t xml:space="preserve">in Anlehnung an DIN EN 1860-1</t>
  </si>
  <si>
    <t xml:space="preserve">202ba8ba-3cea-431a-8ca4-a18669439dba</t>
  </si>
  <si>
    <t xml:space="preserve">in Anlehnung an DIN EN 8442-1</t>
  </si>
  <si>
    <t xml:space="preserve">ACHTUNG bei StiWa Prüfung muss Teil zur VPA untervergeben werden, außerdem Spüli enthalten!
StiWa beinhaltet Wechseltauchversuch (DIN EN 8442-1 Punkt 6.6). Sehr lange Bearbeitungsdauer! Bitte beachten und auf dem LA vermerken!</t>
  </si>
  <si>
    <t xml:space="preserve">250d6d32-dff9-4111-9572-f9d6e145a849</t>
  </si>
  <si>
    <t xml:space="preserve">in Anlehnung an EK5/AK8  17-12.01:2017</t>
  </si>
  <si>
    <t xml:space="preserve">beb2f29a-5e68-4dfd-9e5f-479b0676cde2</t>
  </si>
  <si>
    <t xml:space="preserve">siehe Test Report 6995971_01_A_FFU vom 18.06.24</t>
  </si>
  <si>
    <t xml:space="preserve">778ff736-9e87-437f-ab3e-3267773a90bb</t>
  </si>
  <si>
    <t xml:space="preserve">ÖNORM M 5027 &amp;DIN EN 14592 &amp;DIN EN ISO 9227 &amp; PA565</t>
  </si>
  <si>
    <t xml:space="preserve">ea1d9250-b7b8-447d-8dcb-35ba0d6e941e</t>
  </si>
  <si>
    <t xml:space="preserve">1000_PPM</t>
  </si>
  <si>
    <t xml:space="preserve">Kennzeichnungsprüfung Bedienungsanleitung</t>
  </si>
  <si>
    <t xml:space="preserve">Kennzeichnung</t>
  </si>
  <si>
    <t xml:space="preserve">1000_PPM_L_TS</t>
  </si>
  <si>
    <t xml:space="preserve">7f8fb1c8-2a16-40e0-b73f-dba36c3528e4</t>
  </si>
  <si>
    <t xml:space="preserve">1001_PPM</t>
  </si>
  <si>
    <t xml:space="preserve">Kennzeichnung GER, Verpackung &amp; Produkt</t>
  </si>
  <si>
    <t xml:space="preserve">1001_PPM_TS</t>
  </si>
  <si>
    <t xml:space="preserve">d4b8c33f-f200-4890-ac33-9c6c0fce38a6</t>
  </si>
  <si>
    <t xml:space="preserve">1002_PPM</t>
  </si>
  <si>
    <t xml:space="preserve">Kennzeichnung GER, Verpackung &amp; Produkt - Spielzeug</t>
  </si>
  <si>
    <t xml:space="preserve">1002_PPM_TS</t>
  </si>
  <si>
    <t xml:space="preserve">47fe769c-2d76-4529-a8c6-1c5dae98a9f6</t>
  </si>
  <si>
    <t xml:space="preserve">1003_PPM</t>
  </si>
  <si>
    <t xml:space="preserve">Kennzeichnung GER, Verpackung &amp; Produkt - E&amp;E</t>
  </si>
  <si>
    <t xml:space="preserve">1003_PPM_TS</t>
  </si>
  <si>
    <t xml:space="preserve">039eed5d-589b-4824-818f-8171bd8b4b3e</t>
  </si>
  <si>
    <t xml:space="preserve">1005_PPM</t>
  </si>
  <si>
    <t xml:space="preserve">Kennzeichnung GER, Verpackung &amp; Produkt - LFGB</t>
  </si>
  <si>
    <t xml:space="preserve">1005_PPM_TS</t>
  </si>
  <si>
    <t xml:space="preserve">3e25f7e5-3bb8-4faf-979c-1254fdd45589</t>
  </si>
  <si>
    <t xml:space="preserve">Bedienungsanleitung E&amp;E (1000_PPM)</t>
  </si>
  <si>
    <t xml:space="preserve">BEDIENUNGANL_SF_TS</t>
  </si>
  <si>
    <t xml:space="preserve">fe08560f-25bd-418d-8965-0f087becb564</t>
  </si>
  <si>
    <t xml:space="preserve">Kennzeichnung GER, Verpackung &amp; Produkt (1001_PPM)</t>
  </si>
  <si>
    <t xml:space="preserve">KENNZEICHNNG_SF_TS</t>
  </si>
  <si>
    <t xml:space="preserve">86c315d7-605f-4a20-b717-d93d683d8429</t>
  </si>
  <si>
    <t xml:space="preserve">Kennzeichnung GER, Verpackung &amp; Produkt (1002_PPM)</t>
  </si>
  <si>
    <t xml:space="preserve">96dc763a-5f7d-40b8-98f7-746779c1d58c</t>
  </si>
  <si>
    <t xml:space="preserve">Kennzeichnung GER, Verpackung &amp; Produkt (1003_PPM)</t>
  </si>
  <si>
    <t xml:space="preserve">9f3ff957-4609-43ce-b6b2-5b2c2d046fea</t>
  </si>
  <si>
    <t xml:space="preserve">Kennzeichnung GER, Verpackung &amp; Produkt (1005_PPM)</t>
  </si>
  <si>
    <t xml:space="preserve">1e445e7b-efa2-454b-ba4f-7f76c83b390b</t>
  </si>
  <si>
    <t xml:space="preserve">112_PPM</t>
  </si>
  <si>
    <t xml:space="preserve">Optischer Abgleich</t>
  </si>
  <si>
    <t xml:space="preserve">LIDL-spezifisch</t>
  </si>
  <si>
    <t xml:space="preserve">112_PPM_TS</t>
  </si>
  <si>
    <t xml:space="preserve">Durchführung und Abrechnung nur, wenn PreDokcheck stattgefunden hat.</t>
  </si>
  <si>
    <t xml:space="preserve">ce8efa3d-edb4-4678-b535-c901525e6511</t>
  </si>
  <si>
    <t xml:space="preserve">119_PPM</t>
  </si>
  <si>
    <t xml:space="preserve">Produktspezifikation LIDL</t>
  </si>
  <si>
    <t xml:space="preserve">119_PPM_TS</t>
  </si>
  <si>
    <t xml:space="preserve">produktspezifikationen</t>
  </si>
  <si>
    <t xml:space="preserve">8893d0b4-ba3e-48a3-99a7-4d8ac42a4f31</t>
  </si>
  <si>
    <t xml:space="preserve">163_PPM</t>
  </si>
  <si>
    <t xml:space="preserve">Akkusicherheitskurzcheck</t>
  </si>
  <si>
    <t xml:space="preserve">c2ebc799-09d0-4ef9-a437-ea8ec6f067de</t>
  </si>
  <si>
    <t xml:space="preserve">Möbel - Sicherheit, Festigkeit und Dauerhaltbarkeit - Anforderungen an Tische im Wohnbereich</t>
  </si>
  <si>
    <t xml:space="preserve">Sicherheit-/Normprüfung</t>
  </si>
  <si>
    <t xml:space="preserve">Filigrane Tische | Tische mit einer Höhe ≤600mm oder Tische mit einer Plattenfläche ≤0,3m2 | Alle anderen Tische</t>
  </si>
  <si>
    <t xml:space="preserve">b227fd61-9347-4a47-b119-b9482eaa7ff8</t>
  </si>
  <si>
    <t xml:space="preserve">Anwendungsbereiche einzelner Normen (z. B. „Filigrane Tische“) mit eigenem Preis — in der Prüfgrundlage wird je Referenz einer davon ausgewählt.</t>
  </si>
  <si>
    <t xml:space="preserve">Norm</t>
  </si>
  <si>
    <t xml:space="preserve">Titel der Norm</t>
  </si>
  <si>
    <t xml:space="preserve">Anwendungsbereich</t>
  </si>
  <si>
    <t xml:space="preserve">Beschreibung</t>
  </si>
  <si>
    <t xml:space="preserve">Alle anderen Tische</t>
  </si>
  <si>
    <t xml:space="preserve">Filigrane Tische</t>
  </si>
  <si>
    <t xml:space="preserve">Tische mit einer Höhe ≤600mm oder Tische mit einer Plattenfläche ≤0,3m2</t>
  </si>
  <si>
    <t xml:space="preserve">Campingbereich</t>
  </si>
  <si>
    <t xml:space="preserve">Objektbereich</t>
  </si>
  <si>
    <t xml:space="preserve">Wohnbereich</t>
  </si>
  <si>
    <t xml:space="preserve">Allgemeines</t>
  </si>
  <si>
    <t xml:space="preserve">5.1 Die Anforderungen nach EN 581-1:2017 müssen vor und nach der Durchführung der Prüfungen der
Festigkeit, Dauerhaltbarkeit und Standsicherheit erfüllt sein.
Glastischplatten 	müssen 	den 	Anforderungen 	nach 	EN 12150-1:2015, 	Abschnitt 8, 	Prüfung 	der
Bruchstruktur, oder dem Bruchverhalten (β) vom Typ B oder Typ C nach EN 12600:2002 entsprechen.
Öffnungen für Sonnenschirme in der Glastischplatte müssen geschützt sein, um einen Kontakt zwischen
Metall und Glas zu vermeiden.</t>
  </si>
  <si>
    <t xml:space="preserve">Anforderungen</t>
  </si>
  <si>
    <t xml:space="preserve">5.2.2 Die Anforderungen an die Sicherheit, Festigkeit und Dauerhaltbarkeit sind eingehalten, wenn nach der
Prüfung nach Tabelle 1:
a) 	kein Teil, Bauteil oder Verbindungselement Brüche aufweist;
b) 	sich kein bestimmungsgemäß festsitzendes Verbindungselement gelöst hat;
c) 	der Tisch nach Entfernung der Prüflasten seine Funktionen erfüllt.
Das Produkt darf während der Standsicherheitsprüfungen nicht umkippen.</t>
  </si>
  <si>
    <t xml:space="preserve">Anforderungen an die Sicherheit, Festigkeit und Dauerhaltbarkeit</t>
  </si>
  <si>
    <t xml:space="preserve">5</t>
  </si>
  <si>
    <t xml:space="preserve">Anhang A</t>
  </si>
  <si>
    <t xml:space="preserve">Anhang A (informativ)
Kaufinformation (Leitfaden)
Um dem Verbraucher vor dem Kauf die Wahl eines Produktes im Hinblick auf die vorgesehene Nutzung zu
ermöglichen, sollte die Kaufinformation ohne Öffnen der Verpackung verfügbar sein. Folgende Angaben
sollten enthalten sein:
 	Bezeichnung des Produktes;
 	Produktmerkmale, z. B. Maße, Angaben zur Aufbewahrung, Pflege usw.;
 	Nutzungsbedingungen für das Produkt (Camping-, Wohn- oder Objektbereich);
 	ein Warnhinweis, falls der Tisch, der ein Loch für einen Sonnenschirm hat, nicht dafür vorgesehen ist,
einen Sonnenschirm zu halten.
Licensed to SGS-TÜV Saar GmbH - GLOBALNORM
ILNAS eShop 2017 02578 / Max. Networking : 1 / downloaded : 2017-05-23
NOT FOR COMMERCIAL USE OR REPRODUCTION
ILNAS-EN 581-3:2017</t>
  </si>
  <si>
    <t xml:space="preserve">1 Diese Europäische Norm legt die Mindestanforderungen an die Sicherheit, Festigkeit und Dauerhaltbarkeit
für alle Arten von Außentischen für Erwachsene, unabhängig von Werkstoffen, Design/Konstruktion oder
Herstellungsprozessen, fest.
Sie gilt nicht für öffentlich aufgestellte Straßenmöbel.
Die Norm enthält mit Ausnahme der Prüfungen der Standsicherheit keine Beurteilung der Eignung der in
Tischen enthaltenen Aufbewahrungsmöglichkeiten.
Sie enthält keine Anforderungen an die Dauerhaltbarkeit von Rollen/Rädern und an 	Mechanismen zur
Höhenverstellung.
Sie enthält keine Anforderungen an die elektrische Sicherheit.
Sie enthält keine Anforderungen an die Alterungsbeständigkeit und an durch Licht, Temperatur und
Feuchtigkeit verursachte Qualitätsminderungen.</t>
  </si>
  <si>
    <t xml:space="preserve">Außenmöbel für den Campingbereich</t>
  </si>
  <si>
    <t xml:space="preserve">3.3 Außenmöbel, das klappbar oder zerlegbar und leicht ist, sowie für die Nutzung beim Camping und auf Reisen
vorgesehen ist</t>
  </si>
  <si>
    <t xml:space="preserve">Außenmöbel für den Objektbereich</t>
  </si>
  <si>
    <t xml:space="preserve">3.1 Außenmöbel, das für die nicht private Nutzung an öffentlich zugänglichen Stellen vorgesehen ist</t>
  </si>
  <si>
    <t xml:space="preserve">Außenmöbel für den Wohnbereich</t>
  </si>
  <si>
    <t xml:space="preserve">3.2 Außenmöbel, das für die private Nutzung ohne öffentlichen Zugang vorgesehen ist
Licensed to SGS-TÜV Saar GmbH - GLOBALNORM
ILNAS eShop 2017 02578 / Max. Networking : 1 / downloaded : 2017-05-23
NOT FOR COMMERCIAL USE OR REPRODUCTION
ILNAS-EN 581-3:2017
EN 581-3:2017 (D)
5</t>
  </si>
  <si>
    <t xml:space="preserve">Begriffe</t>
  </si>
  <si>
    <t xml:space="preserve">3 Für die Anwendung dieses Dokuments gelten die folgenden Begriffe.</t>
  </si>
  <si>
    <t xml:space="preserve">Festgelegte Kraft, N</t>
  </si>
  <si>
    <t xml:space="preserve">6.3.1 a) Hauptplatte bei Tischen
mit einer Höhe ≤ 950 mm 
300 	750 	1 000
b) Hauptplatte bei Tischen
mit einer Höhe &gt; 950 mm 
– 	500 	500
Zyklen 	10 	10 	10
2. Vertikale statische
Belastung der
Hauptplatte
Für Tische mit einer
Fläche der Tischplatte
≤ 0,25 m 
2 b
EN 1730:2012,</t>
  </si>
  <si>
    <t xml:space="preserve">6.3.1 Zyklen
150
10
300
10
500
10
3. Zusätzliche vertikale
statische
Belastungsprüfung für
Hauptplatten, welche
länger als 1 600 mm
sind
EN 1730:2012,</t>
  </si>
  <si>
    <t xml:space="preserve">6.3.2 Zyklen
500
10
750
10
1 000
10
4. Vertikale statische
Belastung der
Ergänzungsplatte
EN 1730:2012,</t>
  </si>
  <si>
    <t xml:space="preserve">6.3.3 Zyklen
100
10
200
10
300
10
5. Horizontale
Dauerhaltbarkeits-
prüfung
EN 1730:2012,
6.4.2
Festgelegte Masse, kg 	50 	50 	50
Festgelegte Kraft, N 	100 	150 	300
Zyklen 	5 000 	10 000 	20 000
6. Standsicherheit bei
vertikaler Belastung
a, b
EN 1730:2012,</t>
  </si>
  <si>
    <t xml:space="preserve">7.2 V
1 	200 	200 	200
V
2 	200 	400 	400
7. Standsicherheit von
Tischen mit Auszügen 
a
EN 1730:2012,</t>
  </si>
  <si>
    <t xml:space="preserve">Festgelegte Last des</t>
  </si>
  <si>
    <t xml:space="preserve">7.3 Auszugs, kg/dm 
3 
0,2 	0,2 	0,5
festgelegte vertikale Last, N
bestimmt nach
EN 1730:2012, Tabelle 2
V
1 	200 	200 	200
V
2 	200 	400 	400
8. Standsicherheit von
Tischen, deren Gestell
als Sonnenschirm-
Halterung vorgesehen
ist 
a
EN 1730:2012,
7.4 
Prüfkraft, N 	30 	30 	30
a 
Bei Tischen, die vor Durchführung der Prüfungen die Anforderungen an die Standsicherheit nicht erfüllen könnten, können die
anwendbaren Standsicherheitsprüfungen zusätzlich vor Beginn der in dieser Tabelle festgelegten Prüfreihenfolge durchgeführt
werden.
b 
Tische mit Auszugteilen müssen sowohl in der ausgezogenen als auch in der nicht ausgezogenen Konfiguration geprüft werden.
Eine Tischverlängerung, die in der Mitte des Tisches angebracht ist, muss wie die Hauptplatte geprüft werden. Ein Teil der
Hauptplatte in der nicht ausgezogenen Konfiguration kann in der ausgezogenen Konfiguration zu einer Ergänzungsplatte werden.
Licensed to SGS-TÜV Saar GmbH - GLOBALNORM
ILNAS eShop 2017 02578 / Max. Networking : 1 / downloaded : 2017-05-23
NOT FOR COMMERCIAL USE OR REPRODUCTION
ILNAS-EN 581-3:2017
EN 581-3:2017 (D)
7</t>
  </si>
  <si>
    <t xml:space="preserve">Gebrauchsanleitung</t>
  </si>
  <si>
    <t xml:space="preserve">6 Eine Gebrauchsanleitung muss in der oder den Sprachen des Landes beigefügt werden, in dem die Tische
verkauft werden. Diese Gebrauchsanleitung muss in Buchstaben von nicht weniger als 5 mm Höhe die
folgende Überschrift aufweisen: „WICHTIG, FÜR SPÄTERE BEZUGNAHME AUFBEWAHREN: SORGFÄLTIG
LESEN“, es sei denn, das Produkt ist dauerhaft mit den folgenden Angaben gekennzeichnet.
Es müssen mindestens die folgenden Angaben enthalten sein:
a) 	Name und Anschrift des Herstellers/Lieferanten/Einzelhändlers;
b) 	Nutzungsbedingungen für das Produkt (Camping-, Wohn- oder Objektbereich).
Falls zutreffend:
c) 	Aufbauanweisungen;
d) 	Anweisungen zur Pflege und Instandhaltung des Tisches;
e) 	bei Tischen, die über eine Öffnung für einen Sonnenschirm verfügen, die aber nicht dazu vorgesehen
sind, als alleinige Sonnenschirmhalterung zu dienen, ein Warnhinweis, dass ein Sonnenschirm immer
mit einem geeigneten Gestell zu verwenden ist.</t>
  </si>
  <si>
    <t xml:space="preserve">Normative Verweisungen</t>
  </si>
  <si>
    <t xml:space="preserve">2 Die folgenden Dokumente, die in diesem Dokument teilweise oder als Ganzes zitiert werden, sind für die
Anwendung dieses Dokuments erforderlich. Bei datierten Verweisungen gilt nur die in Bezug genommene
Ausgabe. Bei undatierten Verweisungen gilt die letzte Ausgabe des in Bezug genommenen Dokuments
(einschließlich aller Änderungen).
EN 581-1:2017, Außenmöbel — Sitzmöbel und Tische für den Camping-, Wohn- und Objektbereich — Teil 1:
Allgemeine sicherheitstechnische Anforderungen
EN 1730:2012, 	Möbel — 	Tische — 	Prüfverfahren 	zur 	Bestimmung 	der 	Standsicherheit, 	Festigkeit 	und
Dauerhaltbarkeit
EN 12150-1:2015, Glas im Bauwesen — Thermisch vorgespanntes Kalknatron-Einscheiben-Sicherheitsglas —
Teil 1: Definition und Beschreibung
EN 12600:2002, 	Glas 	im 	Bauwesen — 	Pendelschlagversuch — 	Verfahren 	für 	die 	Stoßprüfung 	und 	die
Klassifizierung von Flachglas</t>
  </si>
  <si>
    <t xml:space="preserve">Prüfbericht</t>
  </si>
  <si>
    <t xml:space="preserve">7 Der Prüfbericht muss mindestens die folgenden Angaben enthalten:
a) 	Verweisung auf diese Europäische Norm (EN 581-3:2017);
b) 	Einzelheiten des geprüften Möbelstücks;
c) 	Einzelheiten zu Mängeln, die vor der Prüfung festgestellt wurden;
d) 	alle Abweichungen von dem festgelegten Temperaturbereich;
e) 	Prüfergebnisse;
f) 	Name und Anschrift der Prüfstelle;
g) 	Datum der Prüfung.
Licensed to SGS-TÜV Saar GmbH - GLOBALNORM
ILNAS eShop 2017 02578 / Max. Networking : 1 / downloaded : 2017-05-23
NOT FOR COMMERCIAL USE OR REPRODUCTION
ILNAS-EN 581-3:2017
EN 581-3:2017 (D)
8</t>
  </si>
  <si>
    <t xml:space="preserve">Prüfreihenfolge und Prüfparameter</t>
  </si>
  <si>
    <t xml:space="preserve">5.2.1 Der Tisch ist in der in Tabelle 1 angegebenen Reihenfolge zu prüfen.
Licensed to SGS-TÜV Saar GmbH - GLOBALNORM
ILNAS eShop 2017 02578 / Max. Networking : 1 / downloaded : 2017-05-23
NOT FOR COMMERCIAL USE OR REPRODUCTION
ILNAS-EN 581-3:2017
EN 581-3:2017 (D)
6
Tabelle 1 — Prüfreihenfolge und Prüfparameter
Prüfung 	Verweisung
Prüfparameter
Festlegung 
Camping-
bereich
Wohn-
bereich 
Objektbereich
1. Vertikale statische
Belastung der
Hauptplatte
Für Tische mit einer
Fläche der Tischplatte
&gt; 0,25 m 
2 b
EN 1730:2012,</t>
  </si>
  <si>
    <t xml:space="preserve">Prüfung</t>
  </si>
  <si>
    <t xml:space="preserve">4 Das Prüfen ist nach EN 1730 durchzuführen.</t>
  </si>
  <si>
    <t xml:space="preserve">Standsicherheit, Festigkeit und Dauerhaltbarkeit</t>
  </si>
  <si>
    <t xml:space="preserve">5.2</t>
  </si>
  <si>
    <t xml:space="preserve">Straßenmöbel</t>
  </si>
  <si>
    <t xml:space="preserve">3.4 Außenmöbel zur Benutzung im öffentlichen Raum, das dauerhaft am Boden oder einer Konstruktion (z. B.
Bushaltestelle, Wand usw.) befestigt ist oder nicht von Hand entfernt werden kann</t>
  </si>
  <si>
    <t xml:space="preserve">Eine Zeile je geforderter Prüfung: welches Produkt braucht welche Norm, in welchem Block, zu welchem Preis. Das ist die Arbeitsliste — hier nach Bereich, Warengruppe, Produkt oder Norm filtern. Leere Kosten = „Preis auf Anfrage“ (gelb).</t>
  </si>
  <si>
    <t xml:space="preserve">Bereich</t>
  </si>
  <si>
    <t xml:space="preserve">Warengruppe</t>
  </si>
  <si>
    <t xml:space="preserve">Produkt</t>
  </si>
  <si>
    <t xml:space="preserve">Prüfblock</t>
  </si>
  <si>
    <t xml:space="preserve">in Anlehnung an</t>
  </si>
  <si>
    <t xml:space="preserve">Kosten 1. Prüfung</t>
  </si>
  <si>
    <t xml:space="preserve">Kosten je weiterem Produkt</t>
  </si>
  <si>
    <t xml:space="preserve">Bemerkung zur Norm</t>
  </si>
  <si>
    <t xml:space="preserve">PG-ID</t>
  </si>
  <si>
    <t xml:space="preserve">Grills u. Feuerstellen</t>
  </si>
  <si>
    <t xml:space="preserve">Feuerrohr </t>
  </si>
  <si>
    <t xml:space="preserve">4c8771d7-734d-4d2f-bffc-38bf089559e5</t>
  </si>
  <si>
    <t xml:space="preserve">Baumarkt</t>
  </si>
  <si>
    <t xml:space="preserve">Bewässerungsgeräte u. -systeme</t>
  </si>
  <si>
    <t xml:space="preserve">(Schlauch-)Verbinder</t>
  </si>
  <si>
    <t xml:space="preserve">2485944d-4e9f-40dd-a345-9b29e0dbc6bf</t>
  </si>
  <si>
    <t xml:space="preserve">Beregner</t>
  </si>
  <si>
    <t xml:space="preserve">069ad4a2-405c-4216-98cd-34abf3bb4553</t>
  </si>
  <si>
    <t xml:space="preserve">Bewässerungscomputer</t>
  </si>
  <si>
    <t xml:space="preserve">301373e8-13f1-43a5-915e-a88c37b35d6d</t>
  </si>
  <si>
    <t xml:space="preserve">Gartenbrause</t>
  </si>
  <si>
    <t xml:space="preserve">26078af5-80ee-4c2a-a20e-e13f0d57dae8</t>
  </si>
  <si>
    <t xml:space="preserve">Gartenbewässerung (Sonstige)</t>
  </si>
  <si>
    <t xml:space="preserve">Drucksprüher &lt;3L</t>
  </si>
  <si>
    <t xml:space="preserve">fbc1894d-c0fd-46fd-bd8f-93eb730fcf7b</t>
  </si>
  <si>
    <t xml:space="preserve">Drucksprüher &gt;3L</t>
  </si>
  <si>
    <t xml:space="preserve">d842f471-3b48-4761-943f-453772f4d8eb</t>
  </si>
  <si>
    <t xml:space="preserve">Gießkanne</t>
  </si>
  <si>
    <t xml:space="preserve">9210ed65-bfd0-418d-866b-8ba8c3c5167b</t>
  </si>
  <si>
    <t xml:space="preserve">Regentonne</t>
  </si>
  <si>
    <t xml:space="preserve">6adbdef8-6479-4d9a-96de-bd7d7e870187</t>
  </si>
  <si>
    <t xml:space="preserve">Gartengeräte u. -zubehör (Sonstige)</t>
  </si>
  <si>
    <t xml:space="preserve">(Gewebe-)Planen</t>
  </si>
  <si>
    <t xml:space="preserve">f1b5500e-fda8-4344-aca0-8a6d8c195938</t>
  </si>
  <si>
    <t xml:space="preserve">Bodenmesser</t>
  </si>
  <si>
    <t xml:space="preserve">115b6bd0-52f6-4785-af23-689a42058cfa</t>
  </si>
  <si>
    <t xml:space="preserve">Gartengerätehaus</t>
  </si>
  <si>
    <t xml:space="preserve">f333567e-9dae-4373-95e8-20ab3b9c4aca</t>
  </si>
  <si>
    <t xml:space="preserve">Gartensack</t>
  </si>
  <si>
    <t xml:space="preserve">b4438896-2af0-4744-9cd4-4ed1160266d2</t>
  </si>
  <si>
    <t xml:space="preserve">Gartenzubehör</t>
  </si>
  <si>
    <t xml:space="preserve">7b7cf5c3-1dcd-4aa5-8f75-446e647b3747</t>
  </si>
  <si>
    <t xml:space="preserve">Gerätehalter</t>
  </si>
  <si>
    <t xml:space="preserve">a344ef39-c913-4a58-9354-a39b4de954f7</t>
  </si>
  <si>
    <t xml:space="preserve">Kaminholzregal</t>
  </si>
  <si>
    <t xml:space="preserve">15495e0b-e72b-4043-ba9d-18398658dfd7</t>
  </si>
  <si>
    <t xml:space="preserve">Kniekissen</t>
  </si>
  <si>
    <t xml:space="preserve">9c269978-339e-4f8b-8a86-833f04cf4b41</t>
  </si>
  <si>
    <t xml:space="preserve">Komposter</t>
  </si>
  <si>
    <t xml:space="preserve">7266a5e1-c3b2-4bcd-ad61-732b77e42277</t>
  </si>
  <si>
    <t xml:space="preserve">Kübel / Eimer</t>
  </si>
  <si>
    <t xml:space="preserve">67acbddf-35fa-4685-9768-d6c3c75a84c1</t>
  </si>
  <si>
    <t xml:space="preserve">Pflanzenroller</t>
  </si>
  <si>
    <t xml:space="preserve">5bb25fa6-347c-4430-9b7d-a873d8b23c0a</t>
  </si>
  <si>
    <t xml:space="preserve">Rasenkante</t>
  </si>
  <si>
    <t xml:space="preserve">868f0d7b-3262-439b-baf1-692f10270d38</t>
  </si>
  <si>
    <t xml:space="preserve">Tiervertreiber</t>
  </si>
  <si>
    <t xml:space="preserve">23682bd0-1792-403b-b6c9-35f959ca99f8</t>
  </si>
  <si>
    <t xml:space="preserve">Trolley</t>
  </si>
  <si>
    <t xml:space="preserve">6e8c7c0e-3e31-479a-9c6e-c36b7448425d</t>
  </si>
  <si>
    <t xml:space="preserve">Vlies</t>
  </si>
  <si>
    <t xml:space="preserve">a9e4f9e3-5e74-45d3-bdb2-951ed7ac4b13</t>
  </si>
  <si>
    <t xml:space="preserve">Gartenhäuser</t>
  </si>
  <si>
    <t xml:space="preserve">80cdef55-dafc-4948-9284-ebec74f08d4a</t>
  </si>
  <si>
    <t xml:space="preserve">Gartenschläuche u. Aufroller</t>
  </si>
  <si>
    <t xml:space="preserve">Gartenschlauch</t>
  </si>
  <si>
    <t xml:space="preserve">2175b528-824c-4821-a449-e9cf3d5b42bb</t>
  </si>
  <si>
    <t xml:space="preserve">Schlauchaufroller</t>
  </si>
  <si>
    <t xml:space="preserve">33bc738e-f7be-4a24-ba8d-4097ee71b597</t>
  </si>
  <si>
    <t xml:space="preserve">Gartenwerkzeug handgeführt u. Zubehör</t>
  </si>
  <si>
    <t xml:space="preserve">Erntehelfer</t>
  </si>
  <si>
    <t xml:space="preserve">0ec4e4d1-dd15-47bd-b338-d37e78a6e6b9</t>
  </si>
  <si>
    <t xml:space="preserve">Gasgrills</t>
  </si>
  <si>
    <t xml:space="preserve">Gasgrill</t>
  </si>
  <si>
    <t xml:space="preserve">261cdf89-c63d-441f-9b62-f717b496993e</t>
  </si>
  <si>
    <t xml:space="preserve">Grillzubehör</t>
  </si>
  <si>
    <t xml:space="preserve">Anzündkamin</t>
  </si>
  <si>
    <t xml:space="preserve">d33a5055-ad8b-4394-a48f-37e74f574bca</t>
  </si>
  <si>
    <t xml:space="preserve">Feuerzeug</t>
  </si>
  <si>
    <t xml:space="preserve">2264c2ce-8d2e-4e02-82d6-fce51e04eb10</t>
  </si>
  <si>
    <t xml:space="preserve">Grillabdeckung</t>
  </si>
  <si>
    <t xml:space="preserve">2d679c74-d480-4f62-938d-0b2d2b388b68</t>
  </si>
  <si>
    <t xml:space="preserve">Grillbürsten</t>
  </si>
  <si>
    <t xml:space="preserve">4f7a4dad-e07a-4c34-8ae3-5a7ce7e6691d</t>
  </si>
  <si>
    <t xml:space="preserve">Grillzubehör / Kaminzubehör</t>
  </si>
  <si>
    <t xml:space="preserve">19aee4af-09bb-434c-b3b6-e68a7e544a97</t>
  </si>
  <si>
    <t xml:space="preserve">Kamine, Öfen u. Zubehör</t>
  </si>
  <si>
    <t xml:space="preserve">Kaminbesteck</t>
  </si>
  <si>
    <t xml:space="preserve">ee5dfac1-ce50-49b3-a13e-510cbb24f24e</t>
  </si>
  <si>
    <t xml:space="preserve">Kleinteilesets u. Eisenwaren</t>
  </si>
  <si>
    <t xml:space="preserve">Blechschrauben</t>
  </si>
  <si>
    <t xml:space="preserve">ed6c10dc-29bb-4b71-ad91-79241a9da2e7</t>
  </si>
  <si>
    <t xml:space="preserve">Dübel</t>
  </si>
  <si>
    <t xml:space="preserve">53b17e0d-7cc0-42e9-99e3-81a4c4b359f0</t>
  </si>
  <si>
    <t xml:space="preserve">Haken- und Dübelsortiment, Kabelbindersortiment, Nagelsortiment, Dübelsortiment 4fach sort.</t>
  </si>
  <si>
    <t xml:space="preserve">d7385ddc-768a-437f-b589-23a4b223d4d9</t>
  </si>
  <si>
    <t xml:space="preserve">Holzverbinder</t>
  </si>
  <si>
    <t xml:space="preserve">050cfb07-d793-4477-bea7-68d1a7a0be01</t>
  </si>
  <si>
    <t xml:space="preserve">Kabelbinder</t>
  </si>
  <si>
    <t xml:space="preserve">6847b9a7-0553-4bbe-b2bc-316e6f8bb82e</t>
  </si>
  <si>
    <t xml:space="preserve">Kleinteileset Niedervolt 7-fach sort.</t>
  </si>
  <si>
    <t xml:space="preserve">9566bfe5-8a18-45e0-8b57-a178d7e3126d</t>
  </si>
  <si>
    <t xml:space="preserve">Nägel</t>
  </si>
  <si>
    <t xml:space="preserve">9727b107-5c45-43e7-8643-58a2cc894094</t>
  </si>
  <si>
    <t xml:space="preserve">Schrumpfschlauch-, Kabelstoßverbinder-, Lüsterklemmen-, Lötverbinderset, Kabelschellenset 5 fach sort</t>
  </si>
  <si>
    <t xml:space="preserve">383a51fa-6045-41c9-8774-fe9412acb0a2</t>
  </si>
  <si>
    <t xml:space="preserve">Schrumpfschlauch-Sortiment 8fach sort.</t>
  </si>
  <si>
    <t xml:space="preserve">1b8fb572-85fc-4831-8d8a-ace6a83c3a3c</t>
  </si>
  <si>
    <t xml:space="preserve">Sechskantschrauben</t>
  </si>
  <si>
    <t xml:space="preserve">e24d51d0-7c16-43e6-81ee-b542f9f32cdb</t>
  </si>
  <si>
    <t xml:space="preserve">Spanplattenschrauben</t>
  </si>
  <si>
    <t xml:space="preserve">beaa39e9-9d3c-4991-940d-7286cb9730e6</t>
  </si>
  <si>
    <t xml:space="preserve">Kohlegrills</t>
  </si>
  <si>
    <t xml:space="preserve">660c69c6-7d1d-4dfb-b60b-8d0917855ea6</t>
  </si>
  <si>
    <t xml:space="preserve">NGO / StiWa</t>
  </si>
  <si>
    <t xml:space="preserve">Lacke</t>
  </si>
  <si>
    <t xml:space="preserve">Folien</t>
  </si>
  <si>
    <t xml:space="preserve">14b8a7fd-5c96-4175-8e94-7de8d9b3a262</t>
  </si>
  <si>
    <t xml:space="preserve">Malerwerkzeug</t>
  </si>
  <si>
    <t xml:space="preserve">Auspresspistole</t>
  </si>
  <si>
    <t xml:space="preserve">9021c7d3-78d6-4804-9c18-6fa2689d006d</t>
  </si>
  <si>
    <t xml:space="preserve">Klebeband</t>
  </si>
  <si>
    <t xml:space="preserve">6e42eca1-991e-4689-b51e-b5828cdff3b7</t>
  </si>
  <si>
    <t xml:space="preserve">Malerpinsel</t>
  </si>
  <si>
    <t xml:space="preserve">aea1883c-6b49-41b8-8497-acab5f224fd8</t>
  </si>
  <si>
    <t xml:space="preserve">Vlies / Folie</t>
  </si>
  <si>
    <t xml:space="preserve">c015c4f6-749b-4004-8b1b-35530e8b3cb9</t>
  </si>
  <si>
    <t xml:space="preserve">Pflanzgefäße u. Gewächshäuser</t>
  </si>
  <si>
    <t xml:space="preserve">Begehbares Gewächshaus</t>
  </si>
  <si>
    <t xml:space="preserve">32f8ae9d-9b83-498b-9147-139715185e1c</t>
  </si>
  <si>
    <t xml:space="preserve">Pflanztöpfe</t>
  </si>
  <si>
    <t xml:space="preserve">44cc5293-dde9-479f-a966-32565bb99eaa</t>
  </si>
  <si>
    <t xml:space="preserve">Prüf- u. Messwerkzeuge</t>
  </si>
  <si>
    <t xml:space="preserve">Einfache Messinstrumente </t>
  </si>
  <si>
    <t xml:space="preserve">9ac9d0cb-db8d-4b7e-a57d-4d0a6677faa0</t>
  </si>
  <si>
    <t xml:space="preserve">Spann- u. Klemmwerkzeuge</t>
  </si>
  <si>
    <t xml:space="preserve">(Schraub-)Zwingen</t>
  </si>
  <si>
    <t xml:space="preserve">1520ab0e-ba50-46ce-bcc0-6af868f7f898</t>
  </si>
  <si>
    <t xml:space="preserve">Einhandzwinge </t>
  </si>
  <si>
    <t xml:space="preserve">89b21373-b951-4dd9-9a89-ded09b6a459b</t>
  </si>
  <si>
    <t xml:space="preserve">Rohrschraubzwinge</t>
  </si>
  <si>
    <t xml:space="preserve">f7faa0fd-2307-45d0-bd77-56bd7732b679</t>
  </si>
  <si>
    <t xml:space="preserve">Schraubstock</t>
  </si>
  <si>
    <t xml:space="preserve">e8a9e875-a7eb-453e-b894-b54ec0ca6afd</t>
  </si>
  <si>
    <t xml:space="preserve">Transport</t>
  </si>
  <si>
    <t xml:space="preserve">Rollbrett</t>
  </si>
  <si>
    <t xml:space="preserve">831bd402-2d0f-4cdf-832d-89778fa60026</t>
  </si>
  <si>
    <t xml:space="preserve">Sackkarre</t>
  </si>
  <si>
    <t xml:space="preserve">ba1c79e4-1d42-4c25-bea6-b88255d3aa3d</t>
  </si>
  <si>
    <t xml:space="preserve">Türen u. Fenster</t>
  </si>
  <si>
    <t xml:space="preserve">Dichtungen</t>
  </si>
  <si>
    <t xml:space="preserve">60589dd0-2c5d-4e14-8643-e143313de16d</t>
  </si>
  <si>
    <t xml:space="preserve">Filzgleiter</t>
  </si>
  <si>
    <t xml:space="preserve">c0f794af-a9d8-4ba6-9ab2-6e5dbd0cbd13</t>
  </si>
  <si>
    <t xml:space="preserve">Werkstatt -Hartwaren (Sonstige)</t>
  </si>
  <si>
    <t xml:space="preserve">Einhand-Bügelsägen</t>
  </si>
  <si>
    <t xml:space="preserve">c45c9bf8-d97a-4474-bcf5-7f5c1cdc9063</t>
  </si>
  <si>
    <t xml:space="preserve">Gartensägen</t>
  </si>
  <si>
    <t xml:space="preserve">e2c6f052-8d8e-4677-bf66-dff70ec27329</t>
  </si>
  <si>
    <t xml:space="preserve">Gewindestangen</t>
  </si>
  <si>
    <t xml:space="preserve">16f91cc1-3121-41bd-a337-6f21126f1f26</t>
  </si>
  <si>
    <t xml:space="preserve">Hammer</t>
  </si>
  <si>
    <t xml:space="preserve">e24abdab-c211-4a24-8d76-fb8450795d18</t>
  </si>
  <si>
    <t xml:space="preserve">Handmeißel</t>
  </si>
  <si>
    <t xml:space="preserve">2fc7efe5-d30e-4678-b6f7-b4a1e35e0970</t>
  </si>
  <si>
    <t xml:space="preserve">Japansäge</t>
  </si>
  <si>
    <t xml:space="preserve">0f670a2a-02ae-4081-ad6f-17ac6c74f9ce</t>
  </si>
  <si>
    <t xml:space="preserve">Schäkel</t>
  </si>
  <si>
    <t xml:space="preserve">d8ac1003-217b-4350-a948-18ff6c906461</t>
  </si>
  <si>
    <t xml:space="preserve">Seile</t>
  </si>
  <si>
    <t xml:space="preserve">3d97ef93-c603-4463-a7eb-721951311df3</t>
  </si>
  <si>
    <t xml:space="preserve">Spachtel</t>
  </si>
  <si>
    <t xml:space="preserve">5ce3cc6f-4fb1-4d73-a533-ffc0f8a17374</t>
  </si>
  <si>
    <t xml:space="preserve">Werkzeugaufbewahrung</t>
  </si>
  <si>
    <t xml:space="preserve">Boxen</t>
  </si>
  <si>
    <t xml:space="preserve">44d97eb2-8265-476e-94a7-f01cf9b44d48</t>
  </si>
  <si>
    <t xml:space="preserve">Magnete</t>
  </si>
  <si>
    <t xml:space="preserve">31f988d5-1e43-4eff-8536-3501004e8784</t>
  </si>
  <si>
    <t xml:space="preserve">Magnetwerkzeugset mit LED-Lampe</t>
  </si>
  <si>
    <t xml:space="preserve">70f986f3-bdaf-43db-922b-dd329bac3471</t>
  </si>
  <si>
    <t xml:space="preserve">Sortimentsbox</t>
  </si>
  <si>
    <t xml:space="preserve">4a69d573-f0b4-4f35-917e-1662e65a492d</t>
  </si>
  <si>
    <t xml:space="preserve">Zubehör Anzucht u. Bepflanzung</t>
  </si>
  <si>
    <t xml:space="preserve">Pflanzenschutz</t>
  </si>
  <si>
    <t xml:space="preserve">1ddb8caa-0d6e-4787-8475-a830c90c325f</t>
  </si>
  <si>
    <t xml:space="preserve">Haushalt/Beauty</t>
  </si>
  <si>
    <t xml:space="preserve">Kosmetik</t>
  </si>
  <si>
    <t xml:space="preserve">Beheizbare Wimpernbürste</t>
  </si>
  <si>
    <t xml:space="preserve">ef42effd-6111-4335-aabd-5a35cbfcd102</t>
  </si>
  <si>
    <t xml:space="preserve">Kosmetikspiegel LED</t>
  </si>
  <si>
    <t xml:space="preserve">771901d4-3d75-4ea3-8e2b-a8888a9c47b1</t>
  </si>
  <si>
    <t xml:space="preserve">Organizer / Aufbewahrung</t>
  </si>
  <si>
    <t xml:space="preserve">132c0c21-58bc-412d-a221-0fe5f354814a</t>
  </si>
  <si>
    <t xml:space="preserve">Pinsel / Gesichtspflege</t>
  </si>
  <si>
    <t xml:space="preserve">62c955f9-77c8-41c7-a868-b2660eca846d</t>
  </si>
  <si>
    <t xml:space="preserve">Porenreiniger</t>
  </si>
  <si>
    <t xml:space="preserve">214ce2a7-68a6-4b08-a508-bb4eeca2b900</t>
  </si>
  <si>
    <t xml:space="preserve">Scheren / Rasierer</t>
  </si>
  <si>
    <t xml:space="preserve">005c8823-268a-4785-9039-e77941b9dae0</t>
  </si>
  <si>
    <t xml:space="preserve">Spiegel</t>
  </si>
  <si>
    <t xml:space="preserve">21effb88-cd8c-4419-a529-d30155dcc92b</t>
  </si>
  <si>
    <t xml:space="preserve">Maniküre u. Pediküre</t>
  </si>
  <si>
    <t xml:space="preserve">Hornhautentferner</t>
  </si>
  <si>
    <t xml:space="preserve">5b6dc34d-6981-4ce0-bf01-2a4ec010c950</t>
  </si>
  <si>
    <t xml:space="preserve">Maniküre / Pediküre Sets</t>
  </si>
  <si>
    <t xml:space="preserve">35adebd0-8f48-4de2-84a1-7c78204dda89</t>
  </si>
  <si>
    <t xml:space="preserve">Maniküre-Pediküre-Set</t>
  </si>
  <si>
    <t xml:space="preserve">1a7115a5-73bb-4a1b-a5b4-8ac24fa2a1fb</t>
  </si>
  <si>
    <t xml:space="preserve">Rasur u. Haarentfernung Herren</t>
  </si>
  <si>
    <t xml:space="preserve">Barttrimmer Best</t>
  </si>
  <si>
    <t xml:space="preserve">050e9db3-d535-4a05-8ef8-a805a22cdaf0</t>
  </si>
  <si>
    <t xml:space="preserve">Rotationsrasierer</t>
  </si>
  <si>
    <t xml:space="preserve">42bc39d4-84c1-4c6b-a0d3-d929e274693f</t>
  </si>
  <si>
    <t xml:space="preserve">Küche</t>
  </si>
  <si>
    <t xml:space="preserve">Auflaufformen u. Bräter</t>
  </si>
  <si>
    <t xml:space="preserve">Auflaufform / Backform</t>
  </si>
  <si>
    <t xml:space="preserve">fdf79ef3-ef7f-400d-9ac2-38bf175c903f</t>
  </si>
  <si>
    <t xml:space="preserve">Backformen u. Backbleche</t>
  </si>
  <si>
    <t xml:space="preserve">Backblech</t>
  </si>
  <si>
    <t xml:space="preserve">74c895af-d0f3-46c4-a6c3-98cd38750680</t>
  </si>
  <si>
    <t xml:space="preserve">Backform</t>
  </si>
  <si>
    <t xml:space="preserve">33b959c4-d1c3-4a88-956e-d8ea2b99761a</t>
  </si>
  <si>
    <t xml:space="preserve">Grillschalen</t>
  </si>
  <si>
    <t xml:space="preserve">4407ee56-2cd1-4c27-82af-bad2c526de6d</t>
  </si>
  <si>
    <t xml:space="preserve">Brot- u. Kuchenaufbewahrung</t>
  </si>
  <si>
    <t xml:space="preserve">Brotkasten</t>
  </si>
  <si>
    <t xml:space="preserve">a6343ad2-7b0b-43d1-a21b-dac84040f1f6</t>
  </si>
  <si>
    <t xml:space="preserve">Kuchenbehälter</t>
  </si>
  <si>
    <t xml:space="preserve">3122f44b-d53e-4612-a9df-dadbc5d83506</t>
  </si>
  <si>
    <t xml:space="preserve">Kaffee- u. Teezubehör</t>
  </si>
  <si>
    <t xml:space="preserve">Teekanne</t>
  </si>
  <si>
    <t xml:space="preserve">c8c717a3-8f51-44db-bb22-9010922df897</t>
  </si>
  <si>
    <t xml:space="preserve">Karaffen u. Kannen</t>
  </si>
  <si>
    <t xml:space="preserve">Isolierkanne</t>
  </si>
  <si>
    <t xml:space="preserve">bace424e-7739-44d4-b368-b7989d3423eb</t>
  </si>
  <si>
    <t xml:space="preserve">Karaffe</t>
  </si>
  <si>
    <t xml:space="preserve">672b5e18-0247-42c9-b982-f8880d022975</t>
  </si>
  <si>
    <t xml:space="preserve">Küchen- u. Servierhelfer</t>
  </si>
  <si>
    <t xml:space="preserve">Messerschärfer</t>
  </si>
  <si>
    <t xml:space="preserve">331436b5-47fa-42af-a013-9b46450308fe</t>
  </si>
  <si>
    <t xml:space="preserve">Küchenmaschinen u. Foodprozessoren</t>
  </si>
  <si>
    <t xml:space="preserve">Schüsseln</t>
  </si>
  <si>
    <t xml:space="preserve">1fca3c3a-7f08-4f4d-9ab0-d953e25fbf02</t>
  </si>
  <si>
    <t xml:space="preserve">Küchenmesser, Küchenscheren u. Zubehör</t>
  </si>
  <si>
    <t xml:space="preserve">Messerblock inkl. Messer</t>
  </si>
  <si>
    <t xml:space="preserve">68609209-a5db-4a61-b214-9d7cafd9c6b2</t>
  </si>
  <si>
    <t xml:space="preserve">Lunchboxen</t>
  </si>
  <si>
    <t xml:space="preserve">64036b6d-2956-456d-a06c-ef4a3e606355</t>
  </si>
  <si>
    <t xml:space="preserve">Organisation Küchenhaushaltswaren (Sonstige)</t>
  </si>
  <si>
    <t xml:space="preserve">f9ac4a0b-cc58-4c93-b6c3-51f6c37aefc7</t>
  </si>
  <si>
    <t xml:space="preserve">Schneidebretter u. Herdabdeckplatten</t>
  </si>
  <si>
    <t xml:space="preserve">Schneidbretter</t>
  </si>
  <si>
    <t xml:space="preserve">aec0a5e1-5bfb-48ba-bc60-0c4ff4a91bec</t>
  </si>
  <si>
    <t xml:space="preserve">Tabletts, Servierplatten, Schalen, Schüsseln</t>
  </si>
  <si>
    <t xml:space="preserve">Champagner- / Sektkühler</t>
  </si>
  <si>
    <t xml:space="preserve">0c86a97a-4d80-4ea2-9c2a-715d5193396c</t>
  </si>
  <si>
    <t xml:space="preserve">Schalen</t>
  </si>
  <si>
    <t xml:space="preserve">1c64540d-783c-4e72-94f7-1e78ffd725a1</t>
  </si>
  <si>
    <t xml:space="preserve">Servierplatte</t>
  </si>
  <si>
    <t xml:space="preserve">8c7c02e6-576e-4f01-b8c3-d85ef8679029</t>
  </si>
  <si>
    <t xml:space="preserve">Tafelgeschirr</t>
  </si>
  <si>
    <t xml:space="preserve">Geschirr</t>
  </si>
  <si>
    <t xml:space="preserve">b4e628ee-519c-45c7-8699-e35c188c13a0</t>
  </si>
  <si>
    <t xml:space="preserve">Keksdose</t>
  </si>
  <si>
    <t xml:space="preserve">4c66f7c0-3ea3-44f6-8707-cf3ce93378cd</t>
  </si>
  <si>
    <t xml:space="preserve">Trinkgefäße u. Gläser</t>
  </si>
  <si>
    <t xml:space="preserve">Gläser</t>
  </si>
  <si>
    <t xml:space="preserve">c0078777-c5d7-4283-93a3-4598b8ae6142</t>
  </si>
  <si>
    <t xml:space="preserve">Isolierbecher</t>
  </si>
  <si>
    <t xml:space="preserve">5ec3a731-08a1-4daa-b074-0fb9561ecfed</t>
  </si>
  <si>
    <t xml:space="preserve">Isolierflasche</t>
  </si>
  <si>
    <t xml:space="preserve">94d2f110-2453-426f-b75a-d23942e6612e</t>
  </si>
  <si>
    <t xml:space="preserve">Vorratsdosen</t>
  </si>
  <si>
    <t xml:space="preserve">Frischhaltedosen / Aufbewahrungsdosen</t>
  </si>
  <si>
    <t xml:space="preserve">082b899f-8336-4e96-9a37-60dc0a4a315d</t>
  </si>
  <si>
    <t xml:space="preserve">Wasserfilter u. Zubehör</t>
  </si>
  <si>
    <t xml:space="preserve">Wasserfilter-Kartuschen</t>
  </si>
  <si>
    <t xml:space="preserve">e5d1a727-9f91-4d5e-b382-5b3061c2eee8</t>
  </si>
  <si>
    <t xml:space="preserve">Spielwaren</t>
  </si>
  <si>
    <t xml:space="preserve">Katzenbedarf (Sonstige)</t>
  </si>
  <si>
    <t xml:space="preserve">Vogelfutter- / Insektenhaus</t>
  </si>
  <si>
    <t xml:space="preserve">fafc7865-f3fb-4605-a694-354ae471fede</t>
  </si>
  <si>
    <t xml:space="preserve">Sport &amp; Freizeit - Hartware</t>
  </si>
  <si>
    <t xml:space="preserve">Angeln</t>
  </si>
  <si>
    <t xml:space="preserve">Angelrollen</t>
  </si>
  <si>
    <t xml:space="preserve">de077801-665b-4e1c-ab86-54c7be3d5d6d</t>
  </si>
  <si>
    <t xml:space="preserve">Rutentasche</t>
  </si>
  <si>
    <t xml:space="preserve">96c3213f-9dda-4313-b810-5302a182f541</t>
  </si>
  <si>
    <t xml:space="preserve">Zielfisch-Zubehörbox</t>
  </si>
  <si>
    <t xml:space="preserve">1388ec8d-48e7-4fb8-b0f0-b1d9e50a12f6</t>
  </si>
  <si>
    <t xml:space="preserve">Boote, Boards, Stand up Paddle</t>
  </si>
  <si>
    <t xml:space="preserve">Stand Up Paddle (SUP)</t>
  </si>
  <si>
    <t xml:space="preserve">2f7e7efe-80c3-447e-9256-887cef3ab54e</t>
  </si>
  <si>
    <t xml:space="preserve">Fitness- u. Yogamatten</t>
  </si>
  <si>
    <t xml:space="preserve">Trainingsmatten</t>
  </si>
  <si>
    <t xml:space="preserve">6b86592d-be7b-43b4-9dbd-cec5cb68c575</t>
  </si>
  <si>
    <t xml:space="preserve">Fitnesskleingeräte</t>
  </si>
  <si>
    <t xml:space="preserve">(Stationäre) Trainingsgeräte</t>
  </si>
  <si>
    <t xml:space="preserve">e3838819-ebcd-49cf-b959-3040a93f9ba3</t>
  </si>
  <si>
    <t xml:space="preserve">Gewichte / Hanteln</t>
  </si>
  <si>
    <t xml:space="preserve">24e8c6e6-5f49-40ee-9fcf-af2827ef7b42</t>
  </si>
  <si>
    <t xml:space="preserve">Gymnastikball</t>
  </si>
  <si>
    <t xml:space="preserve">02c97ea1-9a3c-4c92-bf9c-a3ef0190201d</t>
  </si>
  <si>
    <t xml:space="preserve">Mobilitätstrainer Good</t>
  </si>
  <si>
    <t xml:space="preserve">6c1c89e6-bf7d-44ae-b345-9dd2d66c367a</t>
  </si>
  <si>
    <t xml:space="preserve">Trainingsbänke</t>
  </si>
  <si>
    <t xml:space="preserve">8361fc5e-7d18-4d87-b13f-bf014013c64e</t>
  </si>
  <si>
    <t xml:space="preserve">Zubehör</t>
  </si>
  <si>
    <t xml:space="preserve">6747e2fa-c048-4033-a0f6-732727beac48</t>
  </si>
  <si>
    <t xml:space="preserve">Zug- und Druck-Trainingsgeräte</t>
  </si>
  <si>
    <t xml:space="preserve">e884b2ed-0867-4a8a-af97-767ce8386a6e</t>
  </si>
  <si>
    <t xml:space="preserve">Hanteln, Gewichte, Kettlebells</t>
  </si>
  <si>
    <t xml:space="preserve">Hanteln / Gewichte / Kettlebells</t>
  </si>
  <si>
    <t xml:space="preserve">c288e576-0e8b-4a33-ae30-7d56e2195527</t>
  </si>
  <si>
    <t xml:space="preserve">Hunde- u. Katzenbedarf</t>
  </si>
  <si>
    <t xml:space="preserve">Futternäpfe</t>
  </si>
  <si>
    <t xml:space="preserve">bb60940d-d1b2-41d4-b226-9b23d236b557</t>
  </si>
  <si>
    <t xml:space="preserve">Tiergeschirr</t>
  </si>
  <si>
    <t xml:space="preserve">96325d36-d631-4909-9bec-e21c07c4ff8b</t>
  </si>
  <si>
    <t xml:space="preserve">Tierhaarschneider Kabel 10 Watt</t>
  </si>
  <si>
    <t xml:space="preserve">c7f7537d-c4c8-473a-ad21-f14cac649c38</t>
  </si>
  <si>
    <t xml:space="preserve">Tierspielzeug</t>
  </si>
  <si>
    <t xml:space="preserve">7878547c-8273-4f71-8ee9-5457ca69acbf</t>
  </si>
  <si>
    <t xml:space="preserve">Inliner, Rollschuhe, Skateboards, Roller u. Zubehör</t>
  </si>
  <si>
    <t xml:space="preserve">Inlineskates</t>
  </si>
  <si>
    <t xml:space="preserve">c1212dc3-7cf0-46b6-b6ff-b65fb04979de</t>
  </si>
  <si>
    <t xml:space="preserve">Racketsport</t>
  </si>
  <si>
    <t xml:space="preserve">Schläger</t>
  </si>
  <si>
    <t xml:space="preserve">c5be4b2e-94be-49fb-b2dd-9c8d16400ef7</t>
  </si>
  <si>
    <t xml:space="preserve">Tischtennisplatte</t>
  </si>
  <si>
    <t xml:space="preserve">9d824d32-e3ee-419a-94fe-d8d8c808cda1</t>
  </si>
  <si>
    <t xml:space="preserve">Taschen (Funktional)</t>
  </si>
  <si>
    <t xml:space="preserve">Einkaufstrolley</t>
  </si>
  <si>
    <t xml:space="preserve">1f853e70-a497-4e08-96bc-f353bdbe1b04</t>
  </si>
  <si>
    <t xml:space="preserve">Wohnen</t>
  </si>
  <si>
    <t xml:space="preserve">Gartendekoration ohne LED</t>
  </si>
  <si>
    <t xml:space="preserve">Gartenfiguren</t>
  </si>
  <si>
    <t xml:space="preserve">c07ba76c-b7fd-4f7a-9d2b-5a4443731ce0</t>
  </si>
  <si>
    <t xml:space="preserve">Insektenschutz, Rollos, Plissees</t>
  </si>
  <si>
    <t xml:space="preserve">Insektenfänger </t>
  </si>
  <si>
    <t xml:space="preserve">529157ef-dc92-4322-852f-de3a8d230c19</t>
  </si>
  <si>
    <t xml:space="preserve">Plissee</t>
  </si>
  <si>
    <t xml:space="preserve">d9e76ff3-2da5-490d-bab9-fb3548ad76a0</t>
  </si>
  <si>
    <t xml:space="preserve">Rollo</t>
  </si>
  <si>
    <t xml:space="preserve">2891e2d7-4e0a-490b-a4a8-8e49add2f257</t>
  </si>
  <si>
    <t xml:space="preserve">Regale</t>
  </si>
  <si>
    <t xml:space="preserve">(Aufbewahrungs-)Regal</t>
  </si>
  <si>
    <t xml:space="preserve">95dde777-e589-4958-ab80-413eccd40c7e</t>
  </si>
  <si>
    <t xml:space="preserve">Schwerlastregal</t>
  </si>
  <si>
    <t xml:space="preserve">718f0546-1bc2-47c2-98d4-25d2fdda3ab8</t>
  </si>
  <si>
    <t xml:space="preserve">kleine Regale</t>
  </si>
  <si>
    <t xml:space="preserve">03699dd3-5cbd-459f-9f5e-9b8376e9ea45</t>
  </si>
  <si>
    <t xml:space="preserve">Saison u. Party Deko</t>
  </si>
  <si>
    <t xml:space="preserve">Christbaumkugeln</t>
  </si>
  <si>
    <t xml:space="preserve">db1d71e9-6087-4aa0-94ae-587c84bdc1b1</t>
  </si>
  <si>
    <t xml:space="preserve">Christbaumständer</t>
  </si>
  <si>
    <t xml:space="preserve">e6581108-6e6c-4a09-a813-5156dc0a83fc</t>
  </si>
  <si>
    <t xml:space="preserve">Dekofiguren HG</t>
  </si>
  <si>
    <t xml:space="preserve">5ff8e434-f7a1-4773-9379-cfb27ede814e</t>
  </si>
  <si>
    <t xml:space="preserve">Geschenkpapier</t>
  </si>
  <si>
    <t xml:space="preserve">28192402-c665-4ed9-b309-0889fb6d8703</t>
  </si>
  <si>
    <t xml:space="preserve">Hängedekoration</t>
  </si>
  <si>
    <t xml:space="preserve">49984cfe-a85d-4871-9cb2-bc633e325228</t>
  </si>
  <si>
    <t xml:space="preserve">Kerzenhalter</t>
  </si>
  <si>
    <t xml:space="preserve">035287f0-7488-4423-aad1-002b575f5c2b</t>
  </si>
  <si>
    <t xml:space="preserve">Sticker HG</t>
  </si>
  <si>
    <t xml:space="preserve">96a7e5b9-1857-4178-a2b9-ef3a6f543d7f</t>
  </si>
  <si>
    <t xml:space="preserve">Tischdekoration</t>
  </si>
  <si>
    <t xml:space="preserve">434b20a5-b545-4251-b469-d44fd614893d</t>
  </si>
  <si>
    <t xml:space="preserve">Tische</t>
  </si>
  <si>
    <t xml:space="preserve">(Ess-)Tisch</t>
  </si>
  <si>
    <t xml:space="preserve">48746bfb-0e55-416c-9903-bc95f9ab8630</t>
  </si>
  <si>
    <t xml:space="preserve">Beistelltisch</t>
  </si>
  <si>
    <t xml:space="preserve">540ff4c7-0109-49f9-95c4-faf91b38f309</t>
  </si>
  <si>
    <t xml:space="preserve">Deko-Ständer</t>
  </si>
  <si>
    <t xml:space="preserve">9305d445-e740-4b2b-9f70-f245e22a8b18</t>
  </si>
  <si>
    <t xml:space="preserve">Schreib- und Arbeitstisch</t>
  </si>
  <si>
    <t xml:space="preserve">5e2034b0-e8ae-4b90-87fa-2cef9faa6ecd</t>
  </si>
  <si>
    <t xml:space="preserve">Wanddekorationen u. Innen Dekoration (Sonstige)</t>
  </si>
  <si>
    <t xml:space="preserve">Bilderrahmen</t>
  </si>
  <si>
    <t xml:space="preserve">29202af7-4373-4811-9342-b02a4f25d3d5</t>
  </si>
  <si>
    <t xml:space="preserve">Wohn-Dekoration</t>
  </si>
  <si>
    <t xml:space="preserve">(Spiegel-)Fliesen</t>
  </si>
  <si>
    <t xml:space="preserve">9e4e0f58-56a4-4877-a490-e5de2d0b3c3e</t>
  </si>
  <si>
    <t xml:space="preserve">Dekoartikel</t>
  </si>
  <si>
    <t xml:space="preserve">99b1e9e6-797c-4a5b-8aaa-2855140c38bb</t>
  </si>
  <si>
    <t xml:space="preserve">Vasen</t>
  </si>
  <si>
    <t xml:space="preserve">2a6a926f-5a99-40b9-a631-70d9d058daae</t>
  </si>
  <si>
    <t xml:space="preserve">Wohnmöbel (Sonstige)</t>
  </si>
  <si>
    <t xml:space="preserve">Kleiderstange</t>
  </si>
  <si>
    <t xml:space="preserve">a7c4bd6f-20dc-4c11-8cfc-2e4c903e99b3</t>
  </si>
  <si>
    <t xml:space="preserve">Laptopunterlage</t>
  </si>
  <si>
    <t xml:space="preserve">cffecd32-c9f1-42df-94ee-0551b8003c94</t>
  </si>
  <si>
    <t xml:space="preserve">Eine Zeile je Produkt: welche Prüfungen gefordert sind, wie viele Muster nötig sind und wie lange es dauert. Die drei Summenspalten sind Formeln über das Blatt „Prüfanforderungen“ und rechnen sich damit wie im Tool. Die Spalte „Status“ markiert Produkte ohne zugeordnete Norm und solche mit 0 € Kosten.</t>
  </si>
  <si>
    <t xml:space="preserve">WG-Code</t>
  </si>
  <si>
    <t xml:space="preserve">Status</t>
  </si>
  <si>
    <t xml:space="preserve">Trivial</t>
  </si>
  <si>
    <t xml:space="preserve">Anzahl Muster</t>
  </si>
  <si>
    <t xml:space="preserve">Bearbeitungs-dauer (AT)</t>
  </si>
  <si>
    <t xml:space="preserve">Normen Sicherheit/Norm</t>
  </si>
  <si>
    <t xml:space="preserve">Summe Sicherheit/Norm</t>
  </si>
  <si>
    <t xml:space="preserve">Kommentar Sicherheit/Norm</t>
  </si>
  <si>
    <t xml:space="preserve">Bemerkungen aus den Normen</t>
  </si>
  <si>
    <t xml:space="preserve">FFU-Normen</t>
  </si>
  <si>
    <t xml:space="preserve">Summe FFU</t>
  </si>
  <si>
    <t xml:space="preserve">Kommentar FFU</t>
  </si>
  <si>
    <t xml:space="preserve">NGO/StiWa-Normen</t>
  </si>
  <si>
    <t xml:space="preserve">Summe NGO/StiWa</t>
  </si>
  <si>
    <t xml:space="preserve">Kommentar NGO/StiWa</t>
  </si>
  <si>
    <t xml:space="preserve">Kosten TP</t>
  </si>
  <si>
    <t xml:space="preserve">Kosten alt</t>
  </si>
  <si>
    <t xml:space="preserve">370040</t>
  </si>
  <si>
    <t xml:space="preserve">372020</t>
  </si>
  <si>
    <t xml:space="preserve">EK5/AK8 13-05.02:2017 (Gartenbewässerungsartikel): CE-Kennzeichnung! KE nötig. | Verkaufsverpackung bereits im PRE-Test prüfen! Warnhinweise müssen vorhanden sein!</t>
  </si>
  <si>
    <t xml:space="preserve">Sicherheit / Normprüfung - Produktsicherheit
Für E&amp;E Produkte immer nur Kurzprüfungen im Labor
Kosten richten sich Produktart 
EK5/AK8 13-05.02:2017
- Cl. 4.6 Überdruck
- Cl. 4.7 Fallprüfung: EE</t>
  </si>
  <si>
    <t xml:space="preserve">372099</t>
  </si>
  <si>
    <t xml:space="preserve">EN ISO 19932-1 &amp; -2:2013: / :2022 ist noch im Entwurf</t>
  </si>
  <si>
    <t xml:space="preserve">EK5 / TA6 14-01:2023 (Drucksprühgerät &gt;3L): CE-Kennzeichnung! KE nötig.
Die Einstufung der Geräte erfolgt nach Artikel 9 der Druckgeräterichtlinie
Punkt 8 Kunststoffe schriftliche 
Unbedenklichkeitserklärungen</t>
  </si>
  <si>
    <t xml:space="preserve">102_PPM: PSA beachten! | ggf. EE | Multiwinkel / Lineal / Zollstock / usw. | nicht trivial, wenn Verwendung auf Herd möglich | HG</t>
  </si>
  <si>
    <t xml:space="preserve">371099</t>
  </si>
  <si>
    <t xml:space="preserve">EK5/AK8 12-04.1:2012: Korrosionsbeständigkeit 
Metalle müssen korrosionsgeschützt (Lackierung, Pulverbeschichtung, verzinkt) sein. Aluminium gilt als korrosionsbeständig. 
Herstellernachweis für tragende Kunststoffteile Der Kunststoff muss UV- und temperaturbeständig (min. 60°C) sein.  Es wird ausschließlich ein Nachweis (z.B. Datenblatt etc.) vom Kunststoffhersteller akzeptiert.</t>
  </si>
  <si>
    <t xml:space="preserve">102_PPM + Belastungsprüfung 
(1,5-fache Nennlast für 60min.): für alle Eimer, die auf einer Baustelle verwendet werden können</t>
  </si>
  <si>
    <t xml:space="preserve">EK5/AK5 14-04.0-2014: Korrosion (EN ISO 4628-3) wenn Bauteile nicht durch Lackierung, Beschichtung , Werkstoffauswahl geschützt, Note Ri = 1
Künstliche Alterung bei Kunststoffbodenplatte 
ISO 4892 500h Kerbschlagbiegeprüfung (20% Reduzierung im Vergl. zur unbehandelten Probe)
im EK gefordert: Typenschild + Herstellererklärung zur Tragfähigkeit der Rollen + der verwendeten Materialien</t>
  </si>
  <si>
    <t xml:space="preserve">Sicherheit / Normprüfung - Produktsicherheit     Teilprüfung Anlehnung an 100_PPM
- IP44
- Glühdraht
Akku-Sicherheitskurzcheck
Produkte mit Akku jeder Größe werden nach 163_PPM_TGS_REV_A_ Akku-Sicherheitskurzcheck Lidl geprüft: Tiervertreiber Universal 
Sicherheit / Normprüfung - Produktsicherheit
Für E&amp;E Produkte immer nur Kurzprüfungen im Labor
Anlehnung an 100_PPM
- IP44
- Glühdraht                                                  750€
Sicherheit / Normprüfung - Produktsicherheit
Akku-Sicherheitskurzcheck
Produkte mit Akku jeder Größe werden nach 163_PPM_TGS_REV_A_ Akku-Sicherheitskurzcheck Lidl geprüft                                                             950€
Tiervertreiber Maulwurf
Sicherheit / Normprüfung - Produktsicherheit
Teilprüfung nach 0100_PPM
- Kurzschluss
- Erwärmung
- Mech. Festigkeit
- etc.                                                                 750€</t>
  </si>
  <si>
    <t xml:space="preserve">EK5/AK5 06-01.3:2011: UV-Beständigkeit
Tragende Teile aus Kunststoff
Korrosion
nach DIN EN ISO 6270-2, 5 Zyklen
nicht erfordlerlich bei galvanisch- oder pulverbeschichteten Bauteilen</t>
  </si>
  <si>
    <t xml:space="preserve">375100</t>
  </si>
  <si>
    <t xml:space="preserve">372030</t>
  </si>
  <si>
    <t xml:space="preserve">371050</t>
  </si>
  <si>
    <t xml:space="preserve">Abflammgerät</t>
  </si>
  <si>
    <t xml:space="preserve">1e16d295-3543-4620-874f-47680d4924f9</t>
  </si>
  <si>
    <t xml:space="preserve">370010</t>
  </si>
  <si>
    <t xml:space="preserve">Anfrage</t>
  </si>
  <si>
    <t xml:space="preserve">DIN EN 1860-1: Gasgeräteverordnung! CE-Zeichen! KE nötig. Prüfung über Asien | Für GS-Projekte EK-Beschlussliste EK5/AK8 beachten!</t>
  </si>
  <si>
    <t xml:space="preserve">370030</t>
  </si>
  <si>
    <t xml:space="preserve">Campingkocher, Campinglampe</t>
  </si>
  <si>
    <t xml:space="preserve">379f30f7-da5b-4a2b-a229-10aa0d791716</t>
  </si>
  <si>
    <t xml:space="preserve">Heizungs- u. Wassertechnik</t>
  </si>
  <si>
    <t xml:space="preserve">389040</t>
  </si>
  <si>
    <t xml:space="preserve">Entlüftungsschlüssel</t>
  </si>
  <si>
    <t xml:space="preserve">9f8e1174-d141-4613-bc4b-7768d03fe94b</t>
  </si>
  <si>
    <t xml:space="preserve">389010</t>
  </si>
  <si>
    <t xml:space="preserve">387300</t>
  </si>
  <si>
    <t xml:space="preserve">Teilprüfung nach 1992-4 (Mech)
Teilprüfung nach DIN EN 62275 (Kabelbinder): EE</t>
  </si>
  <si>
    <t xml:space="preserve">Sicherheit- / Normprüfung
Teilprüfung nach EN IEC 62275:2019
- 8 Aufbau
- 9.2 Installationsprüfung: EE</t>
  </si>
  <si>
    <t xml:space="preserve">Sicherheit / Normprüfung - Produktsicherheit Teilprüfung
Schneidklemmen (CE): EN 60998-2-3
- Cl.17 - Luft- und Kriechstrecken
- Cl. 13.3 &amp; 13.4 Hochspannung &amp; Isolationsprüfung
- Cl.16.3 Kugeldruckpr.
- Cl. 18 Glühdrahtpr.
Sicherheit / Normprüfung - Produktsicherheit Teilprüfung
Klettkabelinder: 102_PPM
Sicherheit / Normprüfung - Produktsicherheit Teilprüfung
Verbindersortiment und Schelle: 102_PPM
Schrumpfschlauch: 102_PPM
Krokodilklemmen (24 V): 102_PPM: EE</t>
  </si>
  <si>
    <t xml:space="preserve">Sicherheit / Normprüfung - Produktsicherheit
Teilprüfung nach DIN EN 60998-2-1
Teilprüfung nach DIN EN 60684-1: EE</t>
  </si>
  <si>
    <t xml:space="preserve">Sicherheit- / Normprüfung Teilprüfung in Anlehnung an 
EN IEC 62775:2019 und EN 60998-2-3:2004 und allgemeine Sicherheit: EE</t>
  </si>
  <si>
    <t xml:space="preserve">370020</t>
  </si>
  <si>
    <t xml:space="preserve">385020</t>
  </si>
  <si>
    <t xml:space="preserve">385040</t>
  </si>
  <si>
    <t xml:space="preserve">373010</t>
  </si>
  <si>
    <t xml:space="preserve">EK5/AK8 12-03.1:2012: Herstellernachweis für tragende Kunststoffteile
Der Kunststoff muss UV- und temperaturbeständig (min. 60°C) sein.  
Es wird ausschließlich ein Nachweis (z.B. Datenblatt etc.) vom Kunststoffhersteller akzeptiert. 
Korrosionsbeständigkeit 
Metalle müssen korrosionsgeschützt (Lackierung, Pulverbeschichtung, verzinkt) sein. 
Aluminium gilt als korrosionsbeständig.</t>
  </si>
  <si>
    <t xml:space="preserve">387150</t>
  </si>
  <si>
    <t xml:space="preserve">387140</t>
  </si>
  <si>
    <t xml:space="preserve">387400</t>
  </si>
  <si>
    <t xml:space="preserve">Hebeschlinge</t>
  </si>
  <si>
    <t xml:space="preserve">3185b825-ba81-43e8-95b9-50c17273a864</t>
  </si>
  <si>
    <t xml:space="preserve">385310</t>
  </si>
  <si>
    <t xml:space="preserve">387699</t>
  </si>
  <si>
    <t xml:space="preserve">Arbeitsbock</t>
  </si>
  <si>
    <t xml:space="preserve">228fcb3e-4727-45f0-8139-65455de2d802</t>
  </si>
  <si>
    <t xml:space="preserve">Deckenstütze</t>
  </si>
  <si>
    <t xml:space="preserve">61ce52f0-2a7f-46b0-8020-af0e0c100616</t>
  </si>
  <si>
    <t xml:space="preserve">, ergebnis ist </t>
  </si>
  <si>
    <t xml:space="preserve">Handwerkzeuge</t>
  </si>
  <si>
    <t xml:space="preserve">802988d7-5152-45dd-ae6c-a58f0f269582</t>
  </si>
  <si>
    <t xml:space="preserve">Seilwinde / Seilzug</t>
  </si>
  <si>
    <t xml:space="preserve">09c040ba-60ae-40cc-aa08-9f811dd5e212</t>
  </si>
  <si>
    <t xml:space="preserve">102_PPM 
in Anlehnung an EK5.2 PA 80-4.2.1
-&gt; Punkt 2
-&gt; Punkt 3 (ohne 3.6)
-&gt; Punkt 4.1: ggf. Auslobung nach DIN 6439 DIN 6440 &amp; DIN 6441
DIN 7216</t>
  </si>
  <si>
    <t xml:space="preserve">Triviale Artikel</t>
  </si>
  <si>
    <t xml:space="preserve">c9a558c4-8374-46b1-85c6-91ce1eb6b869</t>
  </si>
  <si>
    <t xml:space="preserve">387200</t>
  </si>
  <si>
    <t xml:space="preserve">382b3651-d664-40ac-9351-fa12a3e70650</t>
  </si>
  <si>
    <t xml:space="preserve">Sicherheit- / Normprüfung  / Laborprüfzeit 300 min.
risikobasierte Teilprüfung nach 0100_PPM 750€
- Kurzschluss
- Erwärmung
- Mech. Festigkeit
- Zugägnlichkeit der Knopfzellen
- etc.
Sicherheit- / Normprüfung / Laborprüfzeit 270 min.
102_PPM Mechanische Sicherheit 660€: EE</t>
  </si>
  <si>
    <t xml:space="preserve">373020</t>
  </si>
  <si>
    <t xml:space="preserve">Kompressen u. Verbandsmaterial</t>
  </si>
  <si>
    <t xml:space="preserve">326110</t>
  </si>
  <si>
    <t xml:space="preserve">Autoverbandstasche</t>
  </si>
  <si>
    <t xml:space="preserve">473be8f7-8e74-428d-ab30-60d7886b8ec6</t>
  </si>
  <si>
    <t xml:space="preserve">Binden und Bandagen</t>
  </si>
  <si>
    <t xml:space="preserve">330d540d-2a9d-4059-a001-72f1c2e3843e</t>
  </si>
  <si>
    <t xml:space="preserve">Wärme- / Kältekompressen</t>
  </si>
  <si>
    <t xml:space="preserve">25584028-12a1-4fa8-bfab-3353286ba0da</t>
  </si>
  <si>
    <t xml:space="preserve">325310</t>
  </si>
  <si>
    <t xml:space="preserve">Sicherheit / Normprüfung - Produktsicherheit
Teilprüfung nach EN 60335-2-23
Sicherheit / Normprüfung - Produktsicherheit
Akku-Sicherheitskurzcheck
Produkte mit Akku jeder Größe werden nach 163_PPM_TGS_REV_A_ Akku-Sicherheitskurzcheck Lidl geprüft: EE</t>
  </si>
  <si>
    <t xml:space="preserve">Sicherheit- / Normprüfung
EN 60598-2
-Cl. 4.12 - Prüfung der Dauerhaftigkeit und der Erwärmung	
-Cl. 4.15 - Wärmebeständigkeit, Feuerbeständigkeit und Kriechstromfestigkeit: EE</t>
  </si>
  <si>
    <t xml:space="preserve">325320</t>
  </si>
  <si>
    <t xml:space="preserve">Sicherheit-/Normprüfung
Teilprüfung nach EN 60335-2-8: EE</t>
  </si>
  <si>
    <t xml:space="preserve">Sicherheit / Normprüfung - Produktsicherheit
Teilprüfung nach EN 60335-2-8
- Normalerwärmung
- Abnormal
- Droptest
- HV Test
- Luft- und Kriechstrecken
- Glühdraht: EE</t>
  </si>
  <si>
    <t xml:space="preserve">325110</t>
  </si>
  <si>
    <t xml:space="preserve">Sicherheit- / Normprüfung
- Erwärmung
- Schlagprüfung
- Fallprüfung
Sicherheit / Normprüfung - Produktsicherheit
Akku-Sicherheitskurzcheck
Produkte mit Akku jeder Größe werden nach 163_PPM_TGS_REV_A_ Akku-Sicherheitskurzcheck Lidl geprüft: EE</t>
  </si>
  <si>
    <t xml:space="preserve">Risikobasierte Normprüfung/Teilprüfung
- Erwärmung
- Schlagprüfung
- Fallprüfung
Sicherheit / Normprüfung - Produktsicherheit
Akku-Sicherheitskurzcheck
Produkte mit Akku jeder Größe werden nach 163_PPM_TGS_REV_A_ Akku-Sicherheitskurzcheck Lidl geprüft: EE</t>
  </si>
  <si>
    <t xml:space="preserve">311210</t>
  </si>
  <si>
    <t xml:space="preserve">311310</t>
  </si>
  <si>
    <t xml:space="preserve">311440</t>
  </si>
  <si>
    <t xml:space="preserve">311670</t>
  </si>
  <si>
    <t xml:space="preserve">311030</t>
  </si>
  <si>
    <t xml:space="preserve">311610</t>
  </si>
  <si>
    <t xml:space="preserve">310110</t>
  </si>
  <si>
    <t xml:space="preserve">311640</t>
  </si>
  <si>
    <t xml:space="preserve">in Anlehnung an DIN EN 8442-1: ACHTUNG bei StiWa Prüfung muss Teil zur VPA untervergeben werden, außerdem Spüli enthalten!
StiWa beinhaltet Wechseltauchversuch (DIN EN 8442-1 Punkt 6.6). Sehr lange Bearbeitungsdauer! Bitte beachten und auf dem LA vermerken!</t>
  </si>
  <si>
    <t xml:space="preserve">311420</t>
  </si>
  <si>
    <t xml:space="preserve">311599</t>
  </si>
  <si>
    <t xml:space="preserve">311630</t>
  </si>
  <si>
    <t xml:space="preserve">311510</t>
  </si>
  <si>
    <t xml:space="preserve">311040</t>
  </si>
  <si>
    <t xml:space="preserve">311020</t>
  </si>
  <si>
    <t xml:space="preserve">311410</t>
  </si>
  <si>
    <t xml:space="preserve">311720</t>
  </si>
  <si>
    <t xml:space="preserve">365199</t>
  </si>
  <si>
    <t xml:space="preserve">350210</t>
  </si>
  <si>
    <t xml:space="preserve">Sicherheit / Normprüfung - Produktsicherheit
Prüfung der mech. Sicherheit 102_PPM: EE</t>
  </si>
  <si>
    <t xml:space="preserve">Auto-Innenausstattung</t>
  </si>
  <si>
    <t xml:space="preserve">380010</t>
  </si>
  <si>
    <t xml:space="preserve">Reise- und Spieltisch</t>
  </si>
  <si>
    <t xml:space="preserve">706f7fbe-727c-4b9c-a670-d07f59c45067</t>
  </si>
  <si>
    <t xml:space="preserve">350110</t>
  </si>
  <si>
    <t xml:space="preserve">EK2 / AK2.4 22-01:2022: Vollprüfung in TSN nicht möglich!</t>
  </si>
  <si>
    <t xml:space="preserve">350330</t>
  </si>
  <si>
    <t xml:space="preserve">Fitnessgroßgeräte</t>
  </si>
  <si>
    <t xml:space="preserve">350310</t>
  </si>
  <si>
    <t xml:space="preserve">Hantelablage</t>
  </si>
  <si>
    <t xml:space="preserve">dd5b80c6-0c6f-4ed5-8cd2-7146c5aa7749</t>
  </si>
  <si>
    <t xml:space="preserve">350320</t>
  </si>
  <si>
    <t xml:space="preserve">Sicherheit / Normprüfung - Produktsicherheit
Teilprüfungprüfung nach 0100_PPM
- Glühdrahtprüfung 550 °C
- Scharfe Ecken und Kanten
Teilprüfung nach EN ISO 20957-5
- 5.2.1 Übertragungselemente und sich drehende Teile: EE</t>
  </si>
  <si>
    <t xml:space="preserve">350350</t>
  </si>
  <si>
    <t xml:space="preserve">365100</t>
  </si>
  <si>
    <t xml:space="preserve">Sicherheit / Normprüfung - Produktsicherheit
Teilprüfung der elektrischen Sicherheit nach EN 60335-2-8
Risikobasierte Teilprüfung
- Hochspannung
- Leistungsaufnahme
- Luft- und Kriechstrecken
- Erwärmungsprüfung: EE</t>
  </si>
  <si>
    <t xml:space="preserve">350220</t>
  </si>
  <si>
    <t xml:space="preserve">Helme</t>
  </si>
  <si>
    <t xml:space="preserve">e39d33bc-3ba4-40fc-a536-1a759d26f65e</t>
  </si>
  <si>
    <t xml:space="preserve">Protektoren</t>
  </si>
  <si>
    <t xml:space="preserve">0ac7a958-cf8d-49c9-a4e2-d21cd30b92d1</t>
  </si>
  <si>
    <t xml:space="preserve">350230</t>
  </si>
  <si>
    <t xml:space="preserve">Schläger + Bälle</t>
  </si>
  <si>
    <t xml:space="preserve">ca425b4f-370c-4990-87b6-683c60a32438</t>
  </si>
  <si>
    <t xml:space="preserve">Tischtennisplatte Mini</t>
  </si>
  <si>
    <t xml:space="preserve">afbebeb9-f714-4e8f-82e5-e86df96f2a55</t>
  </si>
  <si>
    <t xml:space="preserve">250045</t>
  </si>
  <si>
    <t xml:space="preserve">374100</t>
  </si>
  <si>
    <t xml:space="preserve">300300</t>
  </si>
  <si>
    <t xml:space="preserve">DIN EN 13120 Pkt 8.2.2 (EN 16433) + 15: (ohne Schlaufe) Asien</t>
  </si>
  <si>
    <r>
      <rPr>
        <sz val="10"/>
        <rFont val="Arial"/>
        <family val="0"/>
        <charset val="1"/>
      </rPr>
      <t xml:space="preserve">DIN EN 13120 (inkl. DIN EN 16434): Musterzahl beachten! 
+ zusätzlich 12 Sicherheitseinrichtungen! (abs. Minimum 8) 
Ablauf in der Norm beachten!! UV-Belichtung notwendig nach DIN EN 16434
Muster Asien Rollo DIN EN 13120 Abschn 8 (inkl. DIN EN 16434)
2x größter und 2x kleinster Style wird für Prüfung benötigt + 4x Sicherheitsclips
"Guarantee letter-General" ausfüllen senden + in Versandkarton legen + „Dispatch samples Form </t>
    </r>
    <r>
      <rPr>
        <sz val="10"/>
        <rFont val="WenQuanYi Zen Hei"/>
        <family val="2"/>
      </rPr>
      <t xml:space="preserve">寄样单</t>
    </r>
    <r>
      <rPr>
        <sz val="10"/>
        <rFont val="Arial"/>
        <family val="0"/>
        <charset val="1"/>
      </rPr>
      <t xml:space="preserve">Fion-General“ auf Versandkarton kleben
Kosten 1936€ (Lidl) 25 AT
Muster Tstn: 1x je Style DIN EN 13120 Abschn 15 
(13.12.24 SH)</t>
    </r>
  </si>
  <si>
    <t xml:space="preserve">300010</t>
  </si>
  <si>
    <t xml:space="preserve">Kinderregal</t>
  </si>
  <si>
    <t xml:space="preserve">4ac931b6-615f-4c15-9cf7-83236f778588</t>
  </si>
  <si>
    <t xml:space="preserve">EK5/AK3 22-01:2022 Prüfgrundsatz für die Sicherheit von Schwerlastregalen im Wohnbereich (bis 800kg)
(DIN EN 14749:2016 (DIN EN 16122:2012) und DGUV Regel 108-007 (EK5AK3 22-01 Punkt 5.4.2.2)): Korrosion 
Alle Metallteile müssen ausreichend gegen  Korrosion geschützt sein.</t>
  </si>
  <si>
    <t xml:space="preserve">300130</t>
  </si>
  <si>
    <t xml:space="preserve">EK5/AK7  18-01:2018 Prüfgrundsatz für die Sicherheit von Christbaumständern: CE-Kennzeichnung! KE nötig.</t>
  </si>
  <si>
    <t xml:space="preserve">Dekofiguren TJP</t>
  </si>
  <si>
    <t xml:space="preserve">8641b285-2743-4b85-84a3-0ab99d81ade2</t>
  </si>
  <si>
    <t xml:space="preserve">Sticker TJP</t>
  </si>
  <si>
    <t xml:space="preserve">ddb9941f-491a-465b-b0bb-2cd8dea4e5d0</t>
  </si>
  <si>
    <t xml:space="preserve">Schränke</t>
  </si>
  <si>
    <t xml:space="preserve">300030</t>
  </si>
  <si>
    <t xml:space="preserve">Kinderschrank</t>
  </si>
  <si>
    <t xml:space="preserve">72a12c62-8eeb-4d48-ad4c-420c6d74a4c8</t>
  </si>
  <si>
    <t xml:space="preserve">300040</t>
  </si>
  <si>
    <t xml:space="preserve">300199</t>
  </si>
  <si>
    <t xml:space="preserve">Wandsticker (Spielzeug)</t>
  </si>
  <si>
    <t xml:space="preserve">0fcbc9bf-2ade-4b82-8d3b-d7aeb84f883b</t>
  </si>
  <si>
    <t xml:space="preserve">300100</t>
  </si>
  <si>
    <t xml:space="preserve">300099</t>
  </si>
  <si>
    <t xml:space="preserve">Der LIDL-Materialanforderungskatalog: Anforderung und Mindest-Prüfnachweis je Parameter.</t>
  </si>
  <si>
    <t xml:space="preserve">Kategorie</t>
  </si>
  <si>
    <t xml:space="preserve">Parameter</t>
  </si>
  <si>
    <t xml:space="preserve">Anforderung</t>
  </si>
  <si>
    <t xml:space="preserve">Norm/Standard EU</t>
  </si>
  <si>
    <t xml:space="preserve">Norm/Standard US</t>
  </si>
  <si>
    <t xml:space="preserve">Mindest-Prüfnachweis</t>
  </si>
  <si>
    <t xml:space="preserve">Kosten</t>
  </si>
  <si>
    <t xml:space="preserve">Kosten je weiterem Artikel</t>
  </si>
  <si>
    <t xml:space="preserve">Abrechnung</t>
  </si>
  <si>
    <t xml:space="preserve">Bewertungs-grundlage nötig</t>
  </si>
  <si>
    <t xml:space="preserve">Varianten</t>
  </si>
  <si>
    <t xml:space="preserve">Schlagworte</t>
  </si>
  <si>
    <t xml:space="preserve">Akku</t>
  </si>
  <si>
    <t xml:space="preserve">HW</t>
  </si>
  <si>
    <t xml:space="preserve">Akku-Kompatibilität 12V / 20V Familie</t>
  </si>
  <si>
    <t xml:space="preserve">Praxistest an eingelagerten Geräten, Akkus, Ladegeräten</t>
  </si>
  <si>
    <t xml:space="preserve">-</t>
  </si>
  <si>
    <t xml:space="preserve">Prüfbericht eines akkreditierten Labors</t>
  </si>
  <si>
    <t xml:space="preserve">artikel</t>
  </si>
  <si>
    <t xml:space="preserve">Akku-Langzeitkapazität</t>
  </si>
  <si>
    <t xml:space="preserve">Bei eingebauten Akkus
 Nach 300 oder 500 Zyklen mindestens 70% der Nennkapazität
 z.B. 2500mAh</t>
  </si>
  <si>
    <t xml:space="preserve">Lithium-Ionen: EN 61960
 Nickel-Metallhydrid: In Anlehnung an EN 61951-2:2017</t>
  </si>
  <si>
    <t xml:space="preserve">Herstellernachweis</t>
  </si>
  <si>
    <t xml:space="preserve">Batterie- / Akku-Kapazitätsprüfung</t>
  </si>
  <si>
    <t xml:space="preserve">Separaten Primärzellen und Akkus:
 Kapazität bei hoher/niedriger/periodisch wechselnder Entladung mind. 2100 mAh / 2400 mAh / 2500 mAh
 Technische Toleranzen: 
 Lithium-Ionen Rundzellen + Lithium-Eisenphosphat-Zellen: Nennkapazität 100% +/-1% 
 Lithium-Ionen Pouchzellen: Nennkapazität 100% +/-3% 
 NiMH Akku: Nennkapazität 100% +/- 5%</t>
  </si>
  <si>
    <t xml:space="preserve">In Anlehnung an EN 60086-1: 2015,
 EN 60086-2: 2016,
 EN 60086-5: 2016 oder EN 61951-2:2017</t>
  </si>
  <si>
    <t xml:space="preserve">Inhouse Prüfbericht</t>
  </si>
  <si>
    <t xml:space="preserve">Entladezeit / Ladeerhaltung der Akku-Kapazität</t>
  </si>
  <si>
    <t xml:space="preserve">z.B. Nach 10 Tagen mindestens 97%, Entladezeit mindestens 54 Min.</t>
  </si>
  <si>
    <t xml:space="preserve">EN 61951-2 (für NiMh Akkus)
 10 Tage sowie 97% ist Vorgabe von Lidl, die Norm hat andere Lagerungszeiten.</t>
  </si>
  <si>
    <t xml:space="preserve">Haltbarkeit, Restlaufzeit</t>
  </si>
  <si>
    <t xml:space="preserve">Batterien: MHD: LT + 3 Jahre
 Knopfzellen: MHD: LT + 3 Jahre</t>
  </si>
  <si>
    <t xml:space="preserve">EN 60086-5 (Alkali Batterien)</t>
  </si>
  <si>
    <t xml:space="preserve">Konnektivität und Appaufbau</t>
  </si>
  <si>
    <t xml:space="preserve">Alle vertraglich aufgeführten Angaben sind zu erfüllen (Funktionen, Informative Anzeige, Art der Verbindung, Chip, Szenario, Anzeige und Steuerung)</t>
  </si>
  <si>
    <t xml:space="preserve">App Funktionen gemäß Prüfauftrag</t>
  </si>
  <si>
    <t xml:space="preserve">Ladezeit (bei Solarprodukten)</t>
  </si>
  <si>
    <t xml:space="preserve">z.B. Ladezeit: 6h</t>
  </si>
  <si>
    <t xml:space="preserve">An Prüfling angepasste Sonnensimulation bei 1000 W/m²</t>
  </si>
  <si>
    <t xml:space="preserve">Lagerzeitprognose (Stand-by-Strom)</t>
  </si>
  <si>
    <t xml:space="preserve">Lagerkapazität (MHD) von mindestens X Monaten nach LT</t>
  </si>
  <si>
    <t xml:space="preserve">Inhouse-Methode: Messung/Ermittlung der Kennlinie des Stand-by-Stroms des Akkus im Gesamtprodukt zur Ermittlung der Lagerzeitprognose für den Akku.
 Anhand der ermittelten Kennlinie des Stand-by-Stroms im Gesamtprodukt, dem Abschaltverhalten des BMS und der Schutzschaltung (PCM) des Akkus und den zusätzlichen Angaben zur Selbstentladung aus den technischen Spezifikationen des Akkus muss basierend auf dem gemessenen Ladezustand (SoC) der ALT Muster die Einhaltung der geforderten X Monate MHD zum LT geprüft und dokumentiert werden. 
 Prüfung nur im Rahmen des ALT. Der Lieferant kann auf eigene Kosten Prüfungen durchführen lassen, um den benötigten SoC für die Einhaltung des MHDs zu bestimmen.</t>
  </si>
  <si>
    <t xml:space="preserve">Lagerzeitprognose zwischen Abschaltspannung und Tiefenentladung</t>
  </si>
  <si>
    <t xml:space="preserve">z.B. 30 Tage</t>
  </si>
  <si>
    <t xml:space="preserve">Anhand der ermittelten Kennlinie des Stand-by-Stroms im Gesamtprodukt, dem Abschaltverhalten des BMS und der Schutzschaltung (PCM) des Akkus und den zusätzlichen Angaben zur Selbstentladung aus den technischen Spezifikationen des Akkus sowie der Wiederaufladespannung muss die Lagerkapazität berechnet werden.</t>
  </si>
  <si>
    <t xml:space="preserve">Laufzeit / Betriebszeit / Leuchtdauer</t>
  </si>
  <si>
    <t xml:space="preserve">z.B. 
 80 Minuten (mit 2 Ah-Akku im Leerlauf)</t>
  </si>
  <si>
    <t xml:space="preserve">allgemeines Messverfahren, nicht normativ geregelt</t>
  </si>
  <si>
    <t xml:space="preserve">HW / TX</t>
  </si>
  <si>
    <t xml:space="preserve">Lagerzeitprognose bei Vollladung</t>
  </si>
  <si>
    <t xml:space="preserve">z.B. 600 Tage</t>
  </si>
  <si>
    <t xml:space="preserve">Inhouse-Methode: Messung/Ermittlung der Kennlinie des Stand-by-Stroms des Akkus im Gesamtprodukt zur Ermittlung der Lagerzeitprognose für den Akku.
 Anhand der ermittelten Kennlinie des Stand-by-Stroms im Gesamtprodukt, dem Abschaltverhalten des BMS und der Schutzschaltung (PCM) des Akkus und den zusätzlichen Angaben zur Selbstentladung aus den technischen Spezifikationen des Akkus muss basierend auf einem Ladezustand (SoC) von 100 % berechnet werden.</t>
  </si>
  <si>
    <t xml:space="preserve">Beständigkeiten</t>
  </si>
  <si>
    <t xml:space="preserve">Falltest</t>
  </si>
  <si>
    <t xml:space="preserve">Funktion muss nach Falltest aus 1m Höhe noch funktionsfähig sein</t>
  </si>
  <si>
    <t xml:space="preserve">Falltest auf harten Boden</t>
  </si>
  <si>
    <t xml:space="preserve">Frostbeständigkeit, Klimawechselfestigkeit
 Temperaturbeständig</t>
  </si>
  <si>
    <t xml:space="preserve">Klimawechselprüfung (-10°C - +65°C)
 (sofern keine anderen Angaben 10 Zyklen; 1 Zyklus = 24 Stunden)
 Dichtstoffe und Pflegemittel
 Temperaturbeständigkeit: 40 - 100 °C</t>
  </si>
  <si>
    <t xml:space="preserve">Prüfung nach DIN EN 60068-2-38
 je nach Produktgruppe und Sinnhaftigkeit:
 anschließende Funktionsprüfung/ Prüfung der Mechanischen Sicherheit (bsp. Belastung) oder optische Bewertung</t>
  </si>
  <si>
    <t xml:space="preserve">Hitzebeständig</t>
  </si>
  <si>
    <t xml:space="preserve">hitzebeständig bis +230°C</t>
  </si>
  <si>
    <t xml:space="preserve">Kochgeschirr: DIN EN 12983-1
 Ofengeschirr: DIN EN 13834
 mechanische Küchenartikel &gt; 100 °C, 
 beachten für Gefäß und/oder Deckel; ggf. Gebrauchshinweise beachten, falls keine Angaben vorhanden: Produkt (Medium: heiße Luft): falls befüllbar, leer lassen, Gegenstand mit allem Zubehör verwenden; falls zutreffend: wenn zulässig Deckel mit Ventil: verschließen; sonst Deckel ohne Ventil: nur auflegen; Gegenstand im Backofen bei „Temperatur+20K“ für 1 h aufbewahren. Überprüfen auf optische Veränderungen und Funktionstest
 Bwertung Geruch: 
 • Geruch wahrnehmbar? Geruch bei geschlossener Backofentür: FAIL 
 • Geruch bei öffnen der Backofentür / kein Geruch: akzeptabel
 Anforderung: Keine Beschädigungen; nur geringfügige, kaum erkennbare Verfärbung oder Verformung zulässig; keine Rauch- oder Geruchsentwicklung; Funktion ist vollständig gegeben
 mechanische Küchenartikel bei Auslobungen bis 100°C, 
 wenn keine Anwendung bei trockener Hitze vorgesehen ist: Eintauchen des Prüfmusters bei ausgelobter Temperatur für 15 Min. in ein Wasserbad. Anschließendes Abkühlen auf Raumtemperatur und Überprüfen auf optische Veränderungen und Funktionstest
 Anforderung: Keine Beschädigungen; nur geringfügige, kaum erkennbare Verfärbung oder Verformung zulässig; keine Geruchsentwicklung; Funktion ist vollständig gegeben
 Küchenhelfern (Pfannenwender, Kochlöffel etc.) mit einer Temperaturauslobung bis ≤ 210 °C: 
 Durchführung der Hitzebeständigkeit in der Pfanne. Dabei wird das Prüfmuster für 3 min mit Kontakt zum Pfannenboden im erhitzten Öl bewegt. Es gilt die vom Hersteller angegebene Maximaltemperatur. Die Prüfung wird insgesamt fünf Mal hintereinander durchgeführt. 
 Bei Auslobung &gt; 210 °C: Durchführung der Hitzebeständigkeit im Backofen (siehe Prüfung oben)
 Anforderung: Keine Beschädigungen; nur geringfügige, kaum erkennbare Verfärbung oder Verformung zulässig; keine Geruchsentwicklung; Funktion ist vollständig gegeben</t>
  </si>
  <si>
    <t xml:space="preserve">Hitzebeständiger Lack</t>
  </si>
  <si>
    <t xml:space="preserve">DIN 55900-2</t>
  </si>
  <si>
    <t xml:space="preserve">IP Schutzarten</t>
  </si>
  <si>
    <t xml:space="preserve">ausgewählte IP Schutzart</t>
  </si>
  <si>
    <t xml:space="preserve">DIN EN 60529</t>
  </si>
  <si>
    <t xml:space="preserve">Isolationsprüfung Kühlfunktion</t>
  </si>
  <si>
    <t xml:space="preserve">Isolationsfähigkeit mit Angabe zu Temperatur / Zeit</t>
  </si>
  <si>
    <t xml:space="preserve">in Anlehnung an EN 12546-2</t>
  </si>
  <si>
    <t xml:space="preserve">laufzeit</t>
  </si>
  <si>
    <t xml:space="preserve">[object Object]</t>
  </si>
  <si>
    <t xml:space="preserve">Isolationsprüfung Warmhaltung</t>
  </si>
  <si>
    <t xml:space="preserve">EN 12546-1</t>
  </si>
  <si>
    <t xml:space="preserve">Kohlensäurebeständigkeit</t>
  </si>
  <si>
    <t xml:space="preserve">Bei Auslobung für kohlesäurehaltige Getränke</t>
  </si>
  <si>
    <t xml:space="preserve">Gebrauchsprüfung, ob kohlensäurehaltige Flüssigkeit ausläuft, in Anlehnung an EN 12546-1 Punkt 3.6.1</t>
  </si>
  <si>
    <t xml:space="preserve">Kältebeständig</t>
  </si>
  <si>
    <t xml:space="preserve">Kältebeständigkeit gemäß Spezifikation, keine Beschädigungen Funktionsbeeinträchtigungen ode wesentlichen Veränderungen</t>
  </si>
  <si>
    <t xml:space="preserve">EN 60068-2-1
Küchenartikel: In-house Methode:
Bedingungen:
•        Temperierung analog Herstellerinformationen; wenn nur Auslobung „kältebeständig“, dann -20 °C
•        Zubehörteile falls zutreffend mit einfrieren
•        24 h falls nicht durch Hersteller begrenzt, mindestens aber 8 h:
Zustand:
•        Befüllbar: zu 2/3 des Nennfüllvolumens mit Leitungswasser füllen und einfrieren; falls verschließbar: wie oben füllen, verschließen, einfrieren und direkt nach dem Einfrieren: Verschluss öffnen, Deckel abnehmen/aufsetzen, Verschluss schließen: 3x wiederholen
•        Nicht-befüllbar: im Ganzen einfrieren
Prüfung: visuelle und haptische Prüfung</t>
  </si>
  <si>
    <t xml:space="preserve">Mikrowellengeeignet</t>
  </si>
  <si>
    <t xml:space="preserve">DIN EN 15284</t>
  </si>
  <si>
    <t xml:space="preserve">Spülmaschinenprüfung</t>
  </si>
  <si>
    <t xml:space="preserve">spülmaschinengeeignet (50 Zyklen), spülmaschinenfest (min. 125 Zyklen)</t>
  </si>
  <si>
    <t xml:space="preserve">DIN 12875-1</t>
  </si>
  <si>
    <t xml:space="preserve">UV Beständigkeit, Witterungsbeständigkeit</t>
  </si>
  <si>
    <t xml:space="preserve">250h / 300h / 500h / 700h / 1000h
 bei 250h Prüfung: max. Verlust der Ausgangsfestigkeit von 10%
 bei 500h Prüfung: max. Verlust der Ausgangsfestigkeit von 20%
 min. 500h
 bei Dichtstoffe &amp; Pflegemittel / Lasuren (WE 385.030)</t>
  </si>
  <si>
    <t xml:space="preserve">Kunststoffe: DIN EN ISO 4892-1 / -2 / -3 (UV-Beständigkeit Zyklus 5, Witterungsbeständigkeit Zyklus 1)
 DIN EN ISO 4892-2 für Farben, Lacke, Beschichtungen
 Textilien: EN ISO 105-B04 
 Indoor-Textilien: EN ISO 105-B02
 Optische Beurteilung: einfache Sicht- und Funktionsprüfung (immer zutreffend) (nach ISO 105-A01)
 Mechanische Beurteilung (bei funktionsbeanspruchten Kunststoffen) je nach Produktgruppe und Sinnhaftigkeit:
 anschließende Funktionsprüfung/ Prüfung der Mechanischen Sicherheit (bsp. Belastung)
 Dichtstoffe &amp; Pflegemittel
 DIN EN ISO 16474-3 mit visuellem Abgleich</t>
  </si>
  <si>
    <t xml:space="preserve">UV Schutz (UV Standard 801)</t>
  </si>
  <si>
    <t xml:space="preserve">UPF 10, 15, 20, 30, 40, 60, 80</t>
  </si>
  <si>
    <t xml:space="preserve">UV STANDARD 801</t>
  </si>
  <si>
    <t xml:space="preserve">Korrosionsbeständigkeit</t>
  </si>
  <si>
    <t xml:space="preserve">Korrosionsprüfung 
 (24h, 48h, 96h, 168h, 240h ….)
 min. Rp Grad 7</t>
  </si>
  <si>
    <t xml:space="preserve">allgemeines Messverfahren: 
 DIN EN ISO 9227:2023 NSS
 Reinigung nach ISO 8407
 Auswertung nach DIN EN ISO 10289:2001
 Outdoor-Möbel:
 DIN EN ISO 9227</t>
  </si>
  <si>
    <t xml:space="preserve">[object Object] | [object Object] | [object Object] | [object Object] | [object Object] | [object Object] | [object Object] | [object Object] | [object Object] | [object Object] | [object Object]</t>
  </si>
  <si>
    <t xml:space="preserve">Lacke:
schützt Metalle gegen Rost
 - Blasengrad: S0
 - Rostgrad: Ri 0
 - Rissgrad: Kw 0
 - Abblätterungsgrad: Kw 0
 - Enthaftung am Ritz: 16 mm
 - Korrosion am Ritz: kleiner 1 mm
 - Gitterschnittwert: Kw 0</t>
  </si>
  <si>
    <t xml:space="preserve">Lacke:
Prüfung gem. DIN EN ISO 9227 500h
Bewertung je nach Ereignis und Normativer Vorgabe:
DIN EN ISO 4628-2 (Blasengrad)
DIN EN ISO 4628-3 (Rostgrad)
DIN EN ISO 4628-4 (Rissgrad)
DIN EN ISO 4628-5 (Abblätterungsgrad)
DIN EN ISO 4628-8 (Enthaftung am Ritz)
DIN EN ISO 4628-8 (Korrosion am Ritz)
DIN EN ISO 2409 (Gitterschnittwert)</t>
  </si>
  <si>
    <t xml:space="preserve">a) Keine Risse oder Überlappungen in Längs- oder Querrichtung
b) nicht mehr als 3 Löcher oder Zonen interkristalliner Korrosion mit einer Fläche &gt; als ein Kreis mit 0,4 mm Durchmesser je 20 cm² offenliegender Oberfläche
c) keine Löcher oder Zonen interkristalliner Korrosion mit einer Fläche &gt; als ein Kreis mit 0,75 mm Durchmesser</t>
  </si>
  <si>
    <t xml:space="preserve">Schneidwaren und Tafelgeräte
Prüfung und Auswertung gem. DIN EN ISO 8442-2 Punkt 7.1</t>
  </si>
  <si>
    <t xml:space="preserve">Rostgrad Ri 0</t>
  </si>
  <si>
    <t xml:space="preserve">Werkzeuge Baumarkt
Prüfung gem. DIN EN ISO 6270-2 CH 5 Zyklen
Bewertung nach DIN EN ISO 4628-3 Punkt 5.1</t>
  </si>
  <si>
    <t xml:space="preserve">Rostgrad ≥Rp7</t>
  </si>
  <si>
    <t xml:space="preserve">Badmöbel:
Prüfung gem. DIN EN ISO 6270-2 CH 5 Zyklen
Bewertung gem. DIN EN ISO 10289:2001</t>
  </si>
  <si>
    <t xml:space="preserve">a)  nach Salznebeltest Fehlerfläche max. 0,1 % und kleiner 0,3 mm; nach Temperaturwechsel  keine Risse, Blasen oder Ablösungen der Beschichtung                  
b) Rostgrad Rp ≥7</t>
  </si>
  <si>
    <t xml:space="preserve">Sanitär
a) verchromte Armaturen
Prüfung gem. DIN EN 248
b) nicht verchromte Armaturen
Prüfung gem. DIN EN ISO 9227 120 h 
Bewertung DIN EN ISO 12089:2001</t>
  </si>
  <si>
    <t xml:space="preserve">Wasserabweisung</t>
  </si>
  <si>
    <t xml:space="preserve">Wasserabweisung / Abperleffekt
 mind. 4 im Neuzustand
 mind. 3 nach der Wäsche
 Dichtstoffe &amp; Pflegemittel
 wasserabweisend</t>
  </si>
  <si>
    <t xml:space="preserve">DIN EN ISO 4920
 Dichtstoffe &amp; Pflegemittel
 DIN EN ISO 2812-2</t>
  </si>
  <si>
    <t xml:space="preserve">AATCC 22</t>
  </si>
  <si>
    <t xml:space="preserve">Wasserdurchlässigkeit, Wassersäule, Wasserdichtheit</t>
  </si>
  <si>
    <t xml:space="preserve">Wasserdurchlässigkeit mit Angabe zur Wassersäule
 Mindestanforderung 1.500mm (unterhalb nur Auslobung wasserabweisend möglich)
 Regenschirm &gt;= 250mm
 Abdeckplanen &gt;= 4.000mm
 Leistungsgrade
 &gt;= 1.500mm Low Performance
 &gt;=3.000mm Medium Performance
 &gt;= 5.000mm High Performance
 &gt;= 10.000mm Special Performance Die Wasserdichtheit der Nähte erfolgt, auch beim PPC, an vom Lieferanten vorbereiteten Nähten</t>
  </si>
  <si>
    <t xml:space="preserve">Prüfanforderung ISO 811
 Zelte: DIN EN ISO 5912
 Armbanduhren: DIN 8310</t>
  </si>
  <si>
    <t xml:space="preserve">AATCC 127 Option 2,
AATCC 35</t>
  </si>
  <si>
    <t xml:space="preserve">HW/TX</t>
  </si>
  <si>
    <t xml:space="preserve">Outdoor Möbel
Prüfung nach DIN EN ISO 9227:2024 NSS 96 h
Bewertung gem. DIN EN ISO 10289:2001</t>
  </si>
  <si>
    <t xml:space="preserve">Brillen</t>
  </si>
  <si>
    <t xml:space="preserve">TX</t>
  </si>
  <si>
    <t xml:space="preserve">Bodenkurve, Mittendicke und Verzug</t>
  </si>
  <si>
    <t xml:space="preserve">[US]
Alle Lesegeräte müssen die entsprechenden Anforderungen der ANSI Z80.1 für Basiskurve, Mittendicke und Verzug erfüllen.</t>
  </si>
  <si>
    <t xml:space="preserve">ANSI Z80.31
ANSI Z80.1
(voluntary standards)</t>
  </si>
  <si>
    <t xml:space="preserve">Erhöhte Ausdauer</t>
  </si>
  <si>
    <t xml:space="preserve">[EU]
Die Sonnenbrille darf nicht:
1) an keiner Stelle zerbrechen;
2) sich nach 500 Zyklen dauerhaft um mehr als 5 mm aus ihrer ursprünglichen Position verformen;
3) zum Öffnen und Schließen der Seiten mehr als leichten Fingerdruck erfordern (außer bei Fassungen mit gefederten Gelenken);
4) eine Seite haben, die sich zu jedem Zeitpunkt des Öffnungs-/Schließvorgangs unter ihrem eigenen Gewicht schließt (bei Rahmen ohne
(bei Rahmen ohne gefederte Gelenke) oder bei Rahmen mit gefederten Gelenken muss die Seite in der offenen Stellung (d. h. bis zum Anschlag geöffnet) noch ihr Gewicht tragen.
(d. h. bis zur vollen natürlichen Ausdehnung geöffnet, ohne den Federmechanismus zu aktivieren).</t>
  </si>
  <si>
    <t xml:space="preserve">DIN EN ISO 12312-1 
(Optionale Spezifikation)</t>
  </si>
  <si>
    <t xml:space="preserve">[EU]
Abriebfestigkeit:
Filter oder Filteroberflächen, von denen behauptet wird, dass sie ein grundlegendes Maß an Abriebfestigkeit bieten, müssen die Anforderungen der ISO 8980-5 erfüllen.
Ein Filter, von dem behauptet wird, dass er abriebfest ist, muss die Anforderung auf beiden Oberflächen erfüllen. Wird nur eine Oberfläche als abriebfest bezeichnet, so ist dies in den mit dem Produkt gelieferten Informationen anzugeben.
Die Oberflächenform des Filters ist für die Prüfung eingeschränkt; Die Prüfergebnisse gelten jedoch für Ansprüche auf Filter und Filteroberflächen mit identischen Eigenschaften außer dem Oberflächenradius.
Anmerkung: Dieser Teil von ISO 12312 versucht nicht, die Eigenschaften von Filteroberflächen zu definieren, deren Abriebfestigkeit dem Basishebel überlegen ist.</t>
  </si>
  <si>
    <t xml:space="preserve">DIN EN ISO 8980-5
(Optionale Spezifikation)</t>
  </si>
  <si>
    <t xml:space="preserve">Linsensegment</t>
  </si>
  <si>
    <t xml:space="preserve">[US]
Bei Lesegeräten mit Linsensegmenten müssen die Größe, die Positionierung und die Neigung der Linsensegmente den einschlägigen Anforderungen der ANSI Z80.1 entsprechen.</t>
  </si>
  <si>
    <t xml:space="preserve">Rahmenkorrosion</t>
  </si>
  <si>
    <t xml:space="preserve">[US]
Die Korrosionsbeständigkeit der Metallteile muss ausreichend sein, um das Prüfverfahren zu bestehen. Rahmen mit beweglichen Scharnieren müssen sich unter den Prüfbedingungen wie vorgesehen bewegen.</t>
  </si>
  <si>
    <t xml:space="preserve">ANSI Z80.3
(voluntary standards)
ANSI Z80.31
(voluntary standards)</t>
  </si>
  <si>
    <t xml:space="preserve">Reibechtheit</t>
  </si>
  <si>
    <t xml:space="preserve">≥ 3-4
Stufe Grauskala</t>
  </si>
  <si>
    <t xml:space="preserve">DIN EN ISO 105-X12</t>
  </si>
  <si>
    <t xml:space="preserve">Schlagfeste Linsen</t>
  </si>
  <si>
    <t xml:space="preserve">[EU]
Kein Bruch des Filters
[US] 
Die Anforderungen von 21 CFR 801.410 müssen erfüllt sein</t>
  </si>
  <si>
    <t xml:space="preserve">21 CFR 801.410</t>
  </si>
  <si>
    <t xml:space="preserve">Schweißbeständigkeit</t>
  </si>
  <si>
    <t xml:space="preserve">Es muss vorhanden sein:
 1) keine Fleckenbildung oder Farbveränderung (mit Ausnahme von Glanzverlusten auf der Oberfläche) an irgendeiner Stelle des Rahmens, mit Ausnahme der Verbindungen und Schrauben, nach einer Prüfdauer von 8 Stunden, und
 2) keine Korrosion, Oberflächenverschlechterung oder Ablösung einer Beschichtung an den Teilen, die während des Tragens längere Zeit mit der Haut in Berührung kommen können, d. h. die Innenseiten der Seiten, der untere und der untere Teil der Felge und die Innenseite des Stegs, nach einer Prüfung von insgesamt 24 Stunden.</t>
  </si>
  <si>
    <t xml:space="preserve">DIN EN ISO 12312-1 
(Optionale Spezifikation)
DIN EN 14139
DIN EN ISO 12870</t>
  </si>
  <si>
    <t xml:space="preserve">Leistungsdaten</t>
  </si>
  <si>
    <t xml:space="preserve">Absorption UV Strahlung, Absorptionsgrad (Gebäudefensterfolie)</t>
  </si>
  <si>
    <t xml:space="preserve">0.99</t>
  </si>
  <si>
    <t xml:space="preserve">EN 410</t>
  </si>
  <si>
    <t xml:space="preserve">Ansaugleistung / Fördermenge</t>
  </si>
  <si>
    <t xml:space="preserve">Ansaugleistung: 240 l / min</t>
  </si>
  <si>
    <t xml:space="preserve">Praxistest</t>
  </si>
  <si>
    <t xml:space="preserve">Arbeitstemperatur (Temperaturerzeugung Produkt)</t>
  </si>
  <si>
    <t xml:space="preserve">max. Arbeitstemperatur: 480°C
 Arbeitstemperatur: 550 °C
 Arbeitstemperatur: max. 800 °C</t>
  </si>
  <si>
    <t xml:space="preserve">Arbeitstemperatur Kühlbox</t>
  </si>
  <si>
    <t xml:space="preserve">z.B. 
 Kühlt bis zu 20 C unter Umgebungstemperatur (von 23 C +/- 1), wärmt max. bis auf 65 C</t>
  </si>
  <si>
    <t xml:space="preserve">Praxistest
 Gemessen in der Mitte des Kühlraumes der Kühlbox in 1/3 Höhe über dem Innenboden sowie ½ Höhe über dem Innenboden bei einer Außentemperatur von 23 C +/- 1</t>
  </si>
  <si>
    <t xml:space="preserve">Arbeitstemperatur Kühlschrank</t>
  </si>
  <si>
    <t xml:space="preserve">z.B. Temperaturstufen 0 – 7 mit einem Temperaturbereich von 0 – 10°C</t>
  </si>
  <si>
    <t xml:space="preserve">Prüfung mit Laborbedingungen ISO/IEC 17025:2017 / Praxistest bei Umgebungstemperatur 20 °C +/- 5K
 Temperaturmessung ohne Last
 (ohne Simulation von zu kühlenden Lebensmitteln)</t>
  </si>
  <si>
    <t xml:space="preserve">Berstdruck</t>
  </si>
  <si>
    <t xml:space="preserve">Berstdruck: max. 180 bar
 Berstdruck: 30 bar</t>
  </si>
  <si>
    <t xml:space="preserve">EN ISO 1402</t>
  </si>
  <si>
    <t xml:space="preserve">Bestimmung der Luftdaten (Blaskraft)</t>
  </si>
  <si>
    <t xml:space="preserve">nach Auslobung z.B. 
 Volumenstrom (breiter Aufsatz): 1650 m³/h 
 Volumenstrom (schmaler Aufsatz): 225 m³/h
 Luftgeschwindigkeit (breiter Aufsatz): 190 km/h
 Luftgeschwindigkeit (schmaler Aufsatz): max. 250 km/h</t>
  </si>
  <si>
    <t xml:space="preserve">ANSI/OPEI B175.2-2012</t>
  </si>
  <si>
    <t xml:space="preserve">Betriebsgeräusch max.</t>
  </si>
  <si>
    <t xml:space="preserve">z.B. 46 dBA</t>
  </si>
  <si>
    <t xml:space="preserve">in Anlehnung an EN60704-1 für Haushaltsprodukte</t>
  </si>
  <si>
    <t xml:space="preserve">Drehmoment</t>
  </si>
  <si>
    <t xml:space="preserve">z.B:
 Drehmoment hart/weich: 48 / 136 Nm
 Drehmoment: 12 Nm</t>
  </si>
  <si>
    <t xml:space="preserve">ISO 5393</t>
  </si>
  <si>
    <t xml:space="preserve">Drehmomentprüfung (Standhalten), Drehmoment max.</t>
  </si>
  <si>
    <t xml:space="preserve">inkl. 2 Bit: PH1 50 mm und PH2 50 mm</t>
  </si>
  <si>
    <t xml:space="preserve">DIN ISO 8764-1
 (Prüfdrehmomente für Form PH und Form PZ )</t>
  </si>
  <si>
    <t xml:space="preserve">Druck / Unterdruck</t>
  </si>
  <si>
    <t xml:space="preserve">erzeugt Druck bis zu 1.000 PSI / 69 bar</t>
  </si>
  <si>
    <t xml:space="preserve">Je nach Messbereich: Druckaufnehmer, Manometer, etc.</t>
  </si>
  <si>
    <t xml:space="preserve">Effektive Luftabgabemenge/ Druck (Kompressor)</t>
  </si>
  <si>
    <t xml:space="preserve">Effektive Abgabemenge:
  - bei 7 bar: 70 l/min
  - bei 4 bar: 97 l/min
  - bei 1 bar: 140 l/min</t>
  </si>
  <si>
    <t xml:space="preserve">VDMA 4362</t>
  </si>
  <si>
    <t xml:space="preserve">Energieeffizienzklasse</t>
  </si>
  <si>
    <t xml:space="preserve">Energieeffizienzklasse E 
 Energieeffizienzklasse: G
 Energieeffizienzklasse: A</t>
  </si>
  <si>
    <t xml:space="preserve">anwendbare ErP Richtlinie vom Produkt abhängig</t>
  </si>
  <si>
    <t xml:space="preserve">Festigkeitsprüfung des Gehäuses bei niedrigen Temperaturen</t>
  </si>
  <si>
    <t xml:space="preserve">Konditionieren des Prüfmusters bei 5°C und Durchführen der Prismenprüfung zur Überprüfung des Durchschlags durchs Gehäuse bei Laubsaugern bei niedrigen Temperaturen
 [Nach vertraglicher Spezifikation durch Lidl auch andere Temperaturen möglich]</t>
  </si>
  <si>
    <t xml:space="preserve">IEC 62841-4-6:2022, Punkt 20.101.2</t>
  </si>
  <si>
    <t xml:space="preserve">Hubraum</t>
  </si>
  <si>
    <t xml:space="preserve">z.B. 25.4 cm3</t>
  </si>
  <si>
    <t xml:space="preserve">bei EU-zugelassenen Verbrennungsmotoren aus Typgenehmigung nach VO 2016/1628 entnehmbar</t>
  </si>
  <si>
    <t xml:space="preserve">Impulsleistung (Munddusche)</t>
  </si>
  <si>
    <t xml:space="preserve">Jet 2300 Impulse/Min. 10%/-5%
 Normal: 1400 Impulse/Min. 10%/-5%
 Soft : 1000 Impulse/Min. 10%/-5%</t>
  </si>
  <si>
    <t xml:space="preserve">Kettengeschwindigkeit</t>
  </si>
  <si>
    <t xml:space="preserve">z.B. 6,5 m/s</t>
  </si>
  <si>
    <t xml:space="preserve">Kettensäge: EN 62841-4-1 (19.107.1.2)</t>
  </si>
  <si>
    <t xml:space="preserve">Klebkraft</t>
  </si>
  <si>
    <t xml:space="preserve">Klebkraft nach 20 Minuten: 62 N/25 mm</t>
  </si>
  <si>
    <t xml:space="preserve">DIN EN 60454-2
 DIN EN ISO 29862 (Klebebänder)</t>
  </si>
  <si>
    <t xml:space="preserve">Leerlaufdrehzahl / Drehzahl / Hubzahl</t>
  </si>
  <si>
    <t xml:space="preserve">z.B. 
 4.050 1/min 
 20.300 1/min</t>
  </si>
  <si>
    <t xml:space="preserve">Leistung</t>
  </si>
  <si>
    <t xml:space="preserve">z.B. 
 650 W (0,88 PS) (Benzingerät)
 Leistung: 520 W (Elektroprodukt)
 Leistung: 4,4 kW (Gasgrill)</t>
  </si>
  <si>
    <t xml:space="preserve">produktabhängige C Norm</t>
  </si>
  <si>
    <t xml:space="preserve">Lichttransmission (Gebäudefensterfolie)</t>
  </si>
  <si>
    <t xml:space="preserve">0.25</t>
  </si>
  <si>
    <t xml:space="preserve">Luftverbrauch / Luftmenge</t>
  </si>
  <si>
    <t xml:space="preserve">z.B. 350 l/min bei 6,3 bar
 Sauger: Luftmenge-Gerät (l/sek): max. 34,2 l/sek</t>
  </si>
  <si>
    <t xml:space="preserve">Prüfung mittels Strömungssensor</t>
  </si>
  <si>
    <t xml:space="preserve">Maße, Gewichte, Flächengewicht</t>
  </si>
  <si>
    <t xml:space="preserve">Flächengewicht: DIN 12127</t>
  </si>
  <si>
    <t xml:space="preserve">Selbsterklärung</t>
  </si>
  <si>
    <t xml:space="preserve">Messerstoppzeit</t>
  </si>
  <si>
    <t xml:space="preserve">z.B. Schnellstopp &lt; 0,5 sek.</t>
  </si>
  <si>
    <t xml:space="preserve">in Anlehnung an EN ISO 10517 (im Rahmen der Prüfung von Produkteigenschaften verminderte Zyklenzahl, 10 Zyklen)</t>
  </si>
  <si>
    <t xml:space="preserve">Oszillationsgeschwindigkeit</t>
  </si>
  <si>
    <t xml:space="preserve">Oszillationsgeschwindigkeit: Clean 6.800 RPM ±10 %; sensitiv 4.400 RPM ±10 %; Massage 4.400 - 6.500 RPM ±10 %</t>
  </si>
  <si>
    <t xml:space="preserve">DIN EN IEC 63174</t>
  </si>
  <si>
    <t xml:space="preserve">Produktionsverfahren</t>
  </si>
  <si>
    <t xml:space="preserve">Chinese Blade - Produktionsverfahren: Lasercut
 Siebdruck
 Vakuumisoliert</t>
  </si>
  <si>
    <t xml:space="preserve">keine</t>
  </si>
  <si>
    <t xml:space="preserve">Saugkraft, Saugleistung</t>
  </si>
  <si>
    <t xml:space="preserve">200 AirWatt</t>
  </si>
  <si>
    <t xml:space="preserve">Saugkraft: EN 60312</t>
  </si>
  <si>
    <t xml:space="preserve">Schalldruckpegel (LpA)</t>
  </si>
  <si>
    <t xml:space="preserve">z.B. 85 dB(A)</t>
  </si>
  <si>
    <t xml:space="preserve">Schallleistungspegel (LWA)</t>
  </si>
  <si>
    <t xml:space="preserve">z.B. 98 dB(A)</t>
  </si>
  <si>
    <t xml:space="preserve">Spannung (Insektenvernichter)</t>
  </si>
  <si>
    <t xml:space="preserve">Gitterspannung : 1600 V</t>
  </si>
  <si>
    <t xml:space="preserve">Gitterspannung: allgemeines Messverfahren, nicht normativ geregelt</t>
  </si>
  <si>
    <t xml:space="preserve">Traglast (wenn nicht sicherheitsrelevant)</t>
  </si>
  <si>
    <t xml:space="preserve">nach Auslobung z.B. 2kg
 Prüfungsdauer 2h</t>
  </si>
  <si>
    <t xml:space="preserve">Außerhalb der Sicherheit- / Normprüfungen</t>
  </si>
  <si>
    <t xml:space="preserve">Vergrößerungsfaktoren</t>
  </si>
  <si>
    <t xml:space="preserve">2-fach Vergrößerung; 
 8-fach Vergrößerung (kleine integrierte Linse)</t>
  </si>
  <si>
    <t xml:space="preserve">Anlehnung an EN ISO 15253,
 Autokollimationsmethode 
 Für Ferngläser DIN ISO 14490</t>
  </si>
  <si>
    <t xml:space="preserve">Vibration (ah) / Schwingungsgesamtwert</t>
  </si>
  <si>
    <t xml:space="preserve">z. B.
 Hand- / Armvibration ah: 10,844 m/s²
 Vibration: &lt; 2,5 m/s2
 Vibrationen beim Sägen von Holzbalken &lt; 4,524 m/s²
 Vibration beim Sägen von Spanplatten &lt; 4,194 m/s²</t>
  </si>
  <si>
    <t xml:space="preserve">Volumenangaben</t>
  </si>
  <si>
    <t xml:space="preserve">Tankinhalt: 7,4 L
 Tankinhalt: 0,85 l
 Wassertank-Volumen: 0,5 L
 Behältervolumen: 5 l
 Ketten-Öl-Tank Volumen: 125ml
 Volumen: 2,6m³
 Fassungsvermögen des Behälters: 810 ml
 Volumen Staubbehälter: 400 ml
 Volumen Filtertüte: 20 Liter
 Nutzvolumen: 5,6 L
 Fassungsvermögen: 7 L
 Volumen Trinkflasche: 700ml</t>
  </si>
  <si>
    <t xml:space="preserve">1. alle Behälter die Flüssigkeiten aufnehmen: mit Medium Wasser auslitern, DIN EN 12983-1, Pkt. 6.2.2 + 3.3 Reinigungsmittel einsetzen
 2. alle Behälter aus nicht-formstabilen Materialien oder ≤ 10 L Volumen: Vollkugel aus DIN EN 12546-2; Wägemessung und Berechnung des Volumens
 3. alle Behälter &gt; 10 L Volumen: Hohlkugeln aus ASTM F 2153</t>
  </si>
  <si>
    <t xml:space="preserve">Wellenfrequenz</t>
  </si>
  <si>
    <t xml:space="preserve">400 -1000 Hz</t>
  </si>
  <si>
    <t xml:space="preserve">Per Messmikrofon</t>
  </si>
  <si>
    <t xml:space="preserve">Wärmeenergiezurückweisung, Wärmereflektionsgrad (Gebäudefensterfolie)</t>
  </si>
  <si>
    <t xml:space="preserve">0.7</t>
  </si>
  <si>
    <t xml:space="preserve">Licht</t>
  </si>
  <si>
    <t xml:space="preserve">Abstrahlwinkel</t>
  </si>
  <si>
    <t xml:space="preserve">z.B. Abstrahlwinkel: 100°</t>
  </si>
  <si>
    <t xml:space="preserve">Goniometer-Messung 13032-4</t>
  </si>
  <si>
    <t xml:space="preserve">Dimmfunktion</t>
  </si>
  <si>
    <t xml:space="preserve">Dimmfunktion: z.B. 100% / 75% / 50% / 25%</t>
  </si>
  <si>
    <t xml:space="preserve">Energieeffizienz nach (EU) 2019/2020</t>
  </si>
  <si>
    <t xml:space="preserve">Angabe der Effizienz in Lm/W</t>
  </si>
  <si>
    <t xml:space="preserve">U-Kugel-Messung</t>
  </si>
  <si>
    <t xml:space="preserve">Schaltzyklen</t>
  </si>
  <si>
    <t xml:space="preserve">z.B. Schaltzyklen 100.000 on/off</t>
  </si>
  <si>
    <t xml:space="preserve">30s on und 30s off
 (LM80/TM21) und EN 63013 / EN 62717 / EN 62612 / EN 62722
 z.B. 100.000 x on/off</t>
  </si>
  <si>
    <t xml:space="preserve">Wellenlänge</t>
  </si>
  <si>
    <t xml:space="preserve">360nm</t>
  </si>
  <si>
    <t xml:space="preserve">DIN 5031</t>
  </si>
  <si>
    <t xml:space="preserve">Beleuchtungsstärke [lx]</t>
  </si>
  <si>
    <t xml:space="preserve">z.B. 
 Fahrradleuchte
 Lichtintensität in (x) m Abstand: 750lx / 2017 lx / 2854 lx</t>
  </si>
  <si>
    <t xml:space="preserve">DIN EN 13032-1 Grundnorm
 DIN EN 13032-4 für LED-Lampen, -Module und -Leuchten</t>
  </si>
  <si>
    <t xml:space="preserve">Farbtemperatur (inkl Lichtfarbensteuerung CCT)</t>
  </si>
  <si>
    <t xml:space="preserve">z.B. 6.000 - 7.000 K</t>
  </si>
  <si>
    <t xml:space="preserve">U-Kugel-Messung 13032-4</t>
  </si>
  <si>
    <t xml:space="preserve">ERP: Prüfbericht eines akkreditierten Labors; Non-ERP Inhouse Prüfbericht</t>
  </si>
  <si>
    <t xml:space="preserve">Farbwiedergabe</t>
  </si>
  <si>
    <t xml:space="preserve">z.B. &gt;80 (Ra)</t>
  </si>
  <si>
    <t xml:space="preserve">LED-Lebensdauer</t>
  </si>
  <si>
    <t xml:space="preserve">z.B. 30.000h</t>
  </si>
  <si>
    <t xml:space="preserve">30s on und 30s off
 (LM80/TM21) und EN 63013 / EN 62717 / EN 62612 / EN 62722</t>
  </si>
  <si>
    <t xml:space="preserve">Lichtstrom</t>
  </si>
  <si>
    <t xml:space="preserve">z.B. 30 lm</t>
  </si>
  <si>
    <t xml:space="preserve">Goniometer-Messung 13032-4
 Messung des konstanten Lichtstroms im eingeschwungenen Zustand</t>
  </si>
  <si>
    <t xml:space="preserve">Lichtstärke je LED</t>
  </si>
  <si>
    <t xml:space="preserve">z.B. 14.000 mcd</t>
  </si>
  <si>
    <t xml:space="preserve">Materialeigenschaften</t>
  </si>
  <si>
    <t xml:space="preserve">Bruchsicher / Schlagfestigkeit</t>
  </si>
  <si>
    <t xml:space="preserve">ohne Prüfanforderung nicht bewertbar
z.B. Charpy Schlagzähigkeit ISO 179 
z.B. Biegeeigenschaften ISO 178 oder Kugelfallversuch je nach Produkt</t>
  </si>
  <si>
    <t xml:space="preserve">z.B. Charpy Schlagzähigkeit ISO 179 
z.B. Biegeeigenschaften ISO 178 oder Kugelfallversuch je nach Produkt</t>
  </si>
  <si>
    <t xml:space="preserve">Glasbruchprüfung (Sicherheitsglas)</t>
  </si>
  <si>
    <t xml:space="preserve">Sicherheitsglas (nach Norm BS 3193)</t>
  </si>
  <si>
    <t xml:space="preserve">BS 3193
EN 14072 (Glas in Möbeln) bzw. DIN EN 12600 für horizontal eingebaute Platten</t>
  </si>
  <si>
    <t xml:space="preserve">Global Recycled Standard Zertifikat</t>
  </si>
  <si>
    <t xml:space="preserve">GRS Auslobung</t>
  </si>
  <si>
    <t xml:space="preserve">Prüfung der Scope Zertifikate auf Vorliegen und Inhalt
 keine Prüfung der Transaktionszertifikate</t>
  </si>
  <si>
    <t xml:space="preserve">Herkunft</t>
  </si>
  <si>
    <t xml:space="preserve">Made in Solingen, EU, Deutschland</t>
  </si>
  <si>
    <t xml:space="preserve">Härteangaben</t>
  </si>
  <si>
    <t xml:space="preserve">z.B.
Stammblatt HRC 38-46
Rollenhärte: 85A 
Kernhärte: HV400
Randhärte: HV700</t>
  </si>
  <si>
    <t xml:space="preserve">DIN EN ISO 6506-1
 (Härteprüfung nach Brinell)
 DIN EN ISO 6507-1
 (Härteprüfung nach Vickers)
 DIN EN ISO 6508-1
 (Härteprüfung nach Rockwell)
 DIN ISO 48-4
 (Shore Härte Elastomere)</t>
  </si>
  <si>
    <t xml:space="preserve">[object Object] | [object Object] | [object Object] | [object Object]</t>
  </si>
  <si>
    <t xml:space="preserve">Kratzfestigkeit Möbeloberflächen</t>
  </si>
  <si>
    <t xml:space="preserve">kratzfest durch Melaminharzbeschichtung</t>
  </si>
  <si>
    <t xml:space="preserve">EN 14323</t>
  </si>
  <si>
    <t xml:space="preserve">Magnet</t>
  </si>
  <si>
    <t xml:space="preserve">Magnetstärke (Neodym)</t>
  </si>
  <si>
    <t xml:space="preserve">in Anlehnung an DIN 50472:1981-03</t>
  </si>
  <si>
    <t xml:space="preserve">Materialangaben</t>
  </si>
  <si>
    <t xml:space="preserve">Carbon (60%), Anteil Carbonfaser / Glasfaser</t>
  </si>
  <si>
    <t xml:space="preserve">Thermogravimetrie (TGA): DIN 51006</t>
  </si>
  <si>
    <t xml:space="preserve">Edelstahl (2Cr13, SUS #430, …), Gold, Silber, Platin</t>
  </si>
  <si>
    <t xml:space="preserve">Optisches-Emissions-Spektrometer
 Verzeichnis der nichtrostenden Stähle 
 DIN EN 10088-1 (bitte Verweise auf andere Normen beachten)
 Gold, Silber, Platin
 DIN EN ISO 9202 (Schmucknorm)</t>
  </si>
  <si>
    <t xml:space="preserve">Stahl für Messer im Baumarktbereich
 (z.B. SK5, Mn65, MnB 40)</t>
  </si>
  <si>
    <t xml:space="preserve">Optisches-Emissions-Spektrometer
 Verzeichnis GB T 699 (1999) für Quality carbon structural steels</t>
  </si>
  <si>
    <t xml:space="preserve">Hölzer (MDF, Sperrholz, Massivholz, …), Kunststoffe (PE, PP, Silikon, …), Aluminium, Kupfer, Baustahl, Eisen, Keramik</t>
  </si>
  <si>
    <t xml:space="preserve">Einfache Sichtprüfung</t>
  </si>
  <si>
    <t xml:space="preserve">Recycling Material (PP Recycled, FSC Hartpappe (recycled), PZ Recyclat, recycletes PVC Prezero)</t>
  </si>
  <si>
    <t xml:space="preserve">Partikelgröße, Schwebstoffgröße</t>
  </si>
  <si>
    <t xml:space="preserve">Partikelgröße: 20µm</t>
  </si>
  <si>
    <t xml:space="preserve">EN 15415-1</t>
  </si>
  <si>
    <t xml:space="preserve">Solarpanel - Herstellungsverfahren</t>
  </si>
  <si>
    <t xml:space="preserve">z.B. Amorph, polykristalin, monokristallin</t>
  </si>
  <si>
    <t xml:space="preserve">EN 61730</t>
  </si>
  <si>
    <t xml:space="preserve">Spezielle Materialangaben/ Stoffangaben</t>
  </si>
  <si>
    <t xml:space="preserve">z.B. Wildschweinborsten, Bleistift HB</t>
  </si>
  <si>
    <t xml:space="preserve">Bügelechtheit</t>
  </si>
  <si>
    <t xml:space="preserve">mind. 3-4</t>
  </si>
  <si>
    <t xml:space="preserve">DIN EN ISO 105-X11</t>
  </si>
  <si>
    <t xml:space="preserve">Chlorbadewasserechtheit</t>
  </si>
  <si>
    <t xml:space="preserve">Chlorbadewasserechtheit
Badebekleidung: 50 mg/l aktives Chlor:
Farbtonänderung: mind. 4
Anbluten: mind.3-4</t>
  </si>
  <si>
    <t xml:space="preserve">DIN EN ISO 105/E03</t>
  </si>
  <si>
    <t xml:space="preserve">AATCC 162</t>
  </si>
  <si>
    <t xml:space="preserve">Faserbestimmung / Faserzusammensetzung</t>
  </si>
  <si>
    <t xml:space="preserve">z.B. 
100 % Polyester
88 % Polyester + 12 % Viskose
Für Produkte der Produktgruppe 100.990 kann in hinreichend begründeten Einzelfällen eine qualitative Materialanalyse als Alternative zur quantitativen Analyse akzeptiert werden, wenn eine zuverlässige quantitative Bestimmung technisch nicht möglich ist, da die Nutzschicht nicht vom Trägermaterial getrennt werden kann und eine Verunreinigung durch Klebstoff besteht.</t>
  </si>
  <si>
    <t xml:space="preserve">Verordnung (EU) Nr. 1007/2001
 ISO 1833 (Prüfmethode)</t>
  </si>
  <si>
    <t xml:space="preserve">AATCC TM20A-2021; 
FTC Title 16 Part 303
16 CFR 300 (wool)
16 CFR 24 (leather)
Labelling of Faux fur in apparel:  NY business law 399AAA</t>
  </si>
  <si>
    <t xml:space="preserve">Garnstärke</t>
  </si>
  <si>
    <t xml:space="preserve">z.B. 600 Denier (g/9000m)</t>
  </si>
  <si>
    <t xml:space="preserve">DIN 53830-3
 Mikrofaser nach DIN 137</t>
  </si>
  <si>
    <t xml:space="preserve">Höchstzugkraft / Reißfestigkeit (Textilien)</t>
  </si>
  <si>
    <t xml:space="preserve">Angabe Werkstoffkennwert N/mm²
 ≥ 100N Kulturtasche 
 ≥ 150N Handtasche
 ≥ 250N Aktentasche, Rucksäcke 
 Gewebe/ Folien, 
  Autovollgarage
 ≥ 120N Neuzustand Textil 
 ≥ 90N Nach Konditionierung Textil 
 ≥ 75N Neuzustand Folie 
 ≥ 55N Nach Konditionierung Folie</t>
  </si>
  <si>
    <t xml:space="preserve">DIN EN ISO 13934-1</t>
  </si>
  <si>
    <t xml:space="preserve">ASTM D5035/ ASTM D5034
ASTM D5034 modified</t>
  </si>
  <si>
    <t xml:space="preserve">Lichtechtheit</t>
  </si>
  <si>
    <t xml:space="preserve">mind. 3-4: Bekleidung allgemein
 mind. 3-4: großflächige Drucke 
 mind. 3-4: Outdoor- / Trekking- / Sportkleidung
 mind. 3-4 Arbeitsbekleidung
 mind. 3 Leder/ leather 
 Heimtex:
 mind. 3-4 Vorhänge, Outdoor-/ Garten Artikel 
 Badeartikel:
 mind. 3-4 
 mind. 3 Gilt für Neonfarben, türkis, pink bei Polyamidmaterialien
 Accessoires: 
 mind. 3-4 Haar-, Schuh- Modeschmuck, Partybrillen, Geldbörsen, Taschen, Rücksäcke, Gürtel 
 Prüfung erfolgt an Hauptmaterialien. Keine Anforderung bei Nacht-, Unterwäsche, Strumpf-, Hausanzügen, Bettwaren, Bademäntel, Handtücher sowie Hausschuhen.
 Prüfung erfolgt stichprobenhaft (Anforderungen sind eigenverantwortlich vom Lieferant zu gewährleisten)</t>
  </si>
  <si>
    <t xml:space="preserve">DIN EN ISO 105/B02</t>
  </si>
  <si>
    <t xml:space="preserve">AATCC 16.3</t>
  </si>
  <si>
    <t xml:space="preserve">Marken</t>
  </si>
  <si>
    <t xml:space="preserve">3M ™, RECCO, …
Lawinenschutz, 3M Scotchlite Streifen, …
 Beispiele für Markenhersteller/Produzenten:
 - Beschläge: Häfele, Hettich, GTV
 - Reißverschlüsse: YKK
 - Bohrfutter: Röhm
 - Beschichtungen: ILAG, Teflon
 - BT Chips: Action, Lenze, Jieli, Qualcomm
 - Uhrwerk: Miyota
 - Solarzellen: SunPower
 - Akku PCB: Wuxi, LGT
 - Akku Zellen: Sunshine, SunPower
 Beispiele für Typenbezeichnung:
 - Beschichtung: zB ILAG Ultimate HL
 - BT Chips: zB ATS2835P (Action), JD7006 (Jieli), ST17H65 (Lenze), QCC3005 (Qualcomm)
 - Uhrwerk: zB ES368, PC21J</t>
  </si>
  <si>
    <t xml:space="preserve">Meerwasserechtheit</t>
  </si>
  <si>
    <t xml:space="preserve">mind. 3-4 (nur Badebekleidung)
mind. 4-5 bei kontrastfarbiger Verarbeitung</t>
  </si>
  <si>
    <t xml:space="preserve">DIN EN ISO 105/E02</t>
  </si>
  <si>
    <t xml:space="preserve">AATCC 106</t>
  </si>
  <si>
    <t xml:space="preserve">RFID</t>
  </si>
  <si>
    <t xml:space="preserve">RFID - Schutz</t>
  </si>
  <si>
    <t xml:space="preserve">reiner Funktionstest auf das Signal
 In Anlehnung an ASTM D4935-18</t>
  </si>
  <si>
    <t xml:space="preserve">Reibechtheit nass</t>
  </si>
  <si>
    <t xml:space="preserve">mind. 2-3
mind. 2: Denim / Wash-out-Artikel / Cord / Samt / Velours
mind./ at least 2: Leder / Veloursleder
gegen weißes Echtleder:
mind. 3: Veloursleder</t>
  </si>
  <si>
    <t xml:space="preserve">DIN EN ISO 105/X12
DIN EN ISO 11640
DIN EN ISO 105/X12 mod.
Prüfhausmethode</t>
  </si>
  <si>
    <t xml:space="preserve">AATCC 8</t>
  </si>
  <si>
    <t xml:space="preserve">Reibechtheit trocken</t>
  </si>
  <si>
    <t xml:space="preserve">mind. 4
mind. 3: Denim / Wash-out-Artikel / Cord / Samt / Velours
mind. 2: Leder / Veloursleder
gegen weißes Echtleder:
mind. 3-4 Veloursleder
Antirutsch-Noppen:
kein Verlust der Anti-Rutsch-Noppen nach 20 Reibzyklen</t>
  </si>
  <si>
    <t xml:space="preserve">Reißverschlusszugprüfung</t>
  </si>
  <si>
    <t xml:space="preserve">RV &lt;= #5 (Größe) 
 Einfache Taschen/Rucksäcke 
 min. 80N Zugkraft 
 Koffer, Wanderrucksäcke, SUP Rucksack 200N Zugkraft</t>
  </si>
  <si>
    <t xml:space="preserve">DIN EN 16732</t>
  </si>
  <si>
    <t xml:space="preserve">ASTM D 2061/ 2062 Strength requirement is based on zipper size and construction (coil vs teeth, etc)</t>
  </si>
  <si>
    <t xml:space="preserve">Scheuerbeständigkeit</t>
  </si>
  <si>
    <t xml:space="preserve">Nicki- und Cordartikel/
mind. 10 000 Touren ohne sichtbaren Flornoppenverlust</t>
  </si>
  <si>
    <t xml:space="preserve">DIN EN ISO 12947-2
Methode: Martindale</t>
  </si>
  <si>
    <t xml:space="preserve">ASTM D4966
Method: Martindale</t>
  </si>
  <si>
    <t xml:space="preserve">[object Object] | [object Object]</t>
  </si>
  <si>
    <t xml:space="preserve">Schweißechtheit</t>
  </si>
  <si>
    <t xml:space="preserve">Farbtonänderung:
mind. 4
mind. 3-4: Accessoires: Haar-, Schuh- Modeschmuck, Partybrillen, Geldbörsen, Taschen, Rücksäcke, Gürtel
mind. 2: Leder
Anbluten:
mind. 3-4         
mind. 4-5 bei kontrastfarbiger Verarbeitung
mind. 3-4 Accessoires: Haar-, Schuh- Modeschmuck, Partybrillen, Geldbörsen, Taschen, Rücksäcke, Gürtel
mind. 2 Leder</t>
  </si>
  <si>
    <t xml:space="preserve">DIN EN ISO 105/E04
DIN EN ISO 11641</t>
  </si>
  <si>
    <t xml:space="preserve">AATCC 15
No corresponding standard</t>
  </si>
  <si>
    <t xml:space="preserve">Siegel/ Zertifikate</t>
  </si>
  <si>
    <t xml:space="preserve">Coolmax, FSC, OEKO-TEX, ILAG, HeiQ Fresh Tech, Warenzeichenverband "Edelstahl Rostfrei"…
Coolmax Handschlaufe mit Klettverschluss
 Platte: Sperrholz FSC
 Antihaftbeschichtung: ILAG Special (ILAFLON Select SP-300)
 OEKO- TEX Standard 100 
 antibakterielle Mikro-Silbertechnologie
 Warenzeichenverband "Edelstahl Rostfrei"</t>
  </si>
  <si>
    <t xml:space="preserve">jeweilige Zertifikatsgrundlage, Eintragung Warenzeichenverband</t>
  </si>
  <si>
    <t xml:space="preserve">Waschbarkeit</t>
  </si>
  <si>
    <t xml:space="preserve">z.B. 
 waschbar bei 30°C (Maschinenwäsche)
 nur Handwäsche geeignet
 Waschmaschinengeeignet bis max. 60 °C</t>
  </si>
  <si>
    <t xml:space="preserve">alle waschbaren Textilien
 Aussehen nach der Wäsche: In Anlehnung an EN ISO 6330 nach 3 Wäschen und 3 Trocknungen
 Maßänderung nach der Wäsche: In Anlehnung an ISO 5077 - Bestimmung der Maßänderung beim Waschen und Trocknen 
 Bewertungsmaßstab:
 Gewebe +/- 3%
 Maschenware +2/- 5%</t>
  </si>
  <si>
    <t xml:space="preserve">Waschechtheit</t>
  </si>
  <si>
    <t xml:space="preserve">Farbtonänderung:
mind. 4
mind. 3-4: Accessoires: Haar-, Schuh- Modeschmuck, Partybrillen, Geldbörsen, Taschen, Rücksäcke, Gürtel
mind. 2: Leder
Anbluten:
Waschechtheit (Flottenverhätnis 1:5): mind. 3-4
mind. 4-5: bei kontrastfarbiger Verarbeitung</t>
  </si>
  <si>
    <t xml:space="preserve">DIN EN ISO 105/C06</t>
  </si>
  <si>
    <t xml:space="preserve">AATCC 61
(Accelerated Laundering)
AATCC 132
(Accelerated Drycleaning)</t>
  </si>
  <si>
    <t xml:space="preserve">Wasserechtheit</t>
  </si>
  <si>
    <t xml:space="preserve">Farbtonänderung:
mind. 4
mind. 3-4: Accessoires: Haar-, Schuh- Modeschmuck, Partybrillen, Geldbörsen, Taschen, Rücksäcke, Gürtel
mind. 2: Leder
Anbluten:
mind. 3-4      
mind. 3-4: Accessoires: Haar-, Schuh- Modeschmuck, Partybrillen, Geldbörsen, Taschen, Rücksäcke, Gürtel (Anbluten)
mind. 4-5: bei kontrastfarbiger Verarbeitung</t>
  </si>
  <si>
    <t xml:space="preserve">DIN EN ISO 105/E01</t>
  </si>
  <si>
    <t xml:space="preserve">AATCC 107</t>
  </si>
  <si>
    <t xml:space="preserve">Höchstzugkraft (Nähte)</t>
  </si>
  <si>
    <t xml:space="preserve">Höchstzugkraft von Nähten mit dem 
Grab-Zugversuch:
nur bei enganliegenden Hemden und Blusen 
≥ 125 N
nur bei enganliegenden Jeans (mit Ausnahme PES-Gemische):
≥ 200 N                
Arbeitsbekleidung:        
≥ 225 N</t>
  </si>
  <si>
    <t xml:space="preserve">DIN EN ISO 13935-2</t>
  </si>
  <si>
    <t xml:space="preserve">ASTM D1683</t>
  </si>
  <si>
    <t xml:space="preserve">Speichel-/ Schweißechtheit</t>
  </si>
  <si>
    <t xml:space="preserve">mind. 5: Textil &amp; Leder (bis Größe 104; Strumpfwaren bis Gr. 23)
mind. 3: bei dunklem Denimmaterial mit Zusatz im Pflegeetikett „Ware kann ausbluten“
(eine ggfs. vorliegende Oeko- Tex® Zertifizierung wird dann nicht angeführt).</t>
  </si>
  <si>
    <t xml:space="preserve">DIN 53160</t>
  </si>
  <si>
    <t xml:space="preserve">AATCC 15 (perspiration)</t>
  </si>
  <si>
    <t xml:space="preserve">Sublimierechtheit</t>
  </si>
  <si>
    <t xml:space="preserve">mind. 4-5: bei Polyester-, Polyamidmaterial und ABS-Noppen
 (bei relevanten Artikeln) 
 Prüfung nur bei kontrastfarbiger Verarbeitung. (Prüfung erfolgt stichprobenartig; Anforderung ist eigenverantwortlich vom Lieferanten zu gewährleisten)
 mind. 5: Zusätzlich bei Socken, Sitzkissen und andere Artikel mit ABS-Noppen: Sublimierechtheit gegenüber weißem Echtleder 
 Keine Verfärbungen auf dem weißen Echtleder sichtbar
 Die Prüfung erfolgt immer, sobald ABS-Noppen verarbeitet wurden.
 mind. 3-4: Zusätzlich bei Duschvorhängen:
 Sublimierechtheit gegenüber weißem PVC-Begleitgewebe</t>
  </si>
  <si>
    <t xml:space="preserve">DIN 54056</t>
  </si>
  <si>
    <t xml:space="preserve">AATCC 163-2012 Option II, modified</t>
  </si>
  <si>
    <t xml:space="preserve">Trockenreinigungsechtheit</t>
  </si>
  <si>
    <t xml:space="preserve">Farbtonänderung:
mind. 4
mind. 3-4: Accessoires: Haar-, Schuh- Modeschmuck, Partybrillen, Geldbörsen, Taschen, Rücksäcke, Gürtel
mind. 2: Leder
Anbluten:
mind. 3-4 (Anbluten)
mind. 4-5 bei kontrastfarbiger Verarbeitung</t>
  </si>
  <si>
    <t xml:space="preserve">DIN EN ISO 105/D01</t>
  </si>
  <si>
    <t xml:space="preserve">AATCC 132</t>
  </si>
  <si>
    <t xml:space="preserve">Wassertropfenechtheit</t>
  </si>
  <si>
    <t xml:space="preserve">mind. 4 (nur Krawatten)</t>
  </si>
  <si>
    <t xml:space="preserve">DIN EN ISO 105/E07</t>
  </si>
  <si>
    <t xml:space="preserve">AATCC 104</t>
  </si>
  <si>
    <t xml:space="preserve">Schuhphysik</t>
  </si>
  <si>
    <t xml:space="preserve">Abkreiden von Laufsohlen</t>
  </si>
  <si>
    <t xml:space="preserve">Abkreiden von Laufsohlen (nur bei Indoorsportschuhen)
 Stufe der Grauskala
 ≥ 3</t>
  </si>
  <si>
    <t xml:space="preserve">PFI 00/1001</t>
  </si>
  <si>
    <t xml:space="preserve">SATRA TM223
Floor marking</t>
  </si>
  <si>
    <t xml:space="preserve">Abriebwiderstand Laufsohle</t>
  </si>
  <si>
    <t xml:space="preserve">≤ 250 mm³ Volumenverlust</t>
  </si>
  <si>
    <t xml:space="preserve">ISO 4649 (Gummi/PU)
ISO 12770 (Leder) 
SATRA TM174 (Industriestandard)
mittels einer rotierenden, mit Schmirgelpapier belegten Walze</t>
  </si>
  <si>
    <t xml:space="preserve">ASTM D5963 (Rotary drum abrader)</t>
  </si>
  <si>
    <t xml:space="preserve">Ausreißkraft</t>
  </si>
  <si>
    <t xml:space="preserve">Bandage/Schuhriemen
 Innen-/Außenseite
 ≥ 150N Damen/ Herren
 ≥ 100N Kinder</t>
  </si>
  <si>
    <t xml:space="preserve">PFI 00/1003</t>
  </si>
  <si>
    <t xml:space="preserve">SATRA TM120</t>
  </si>
  <si>
    <t xml:space="preserve">Schnürteile
 ≥ 150 N Damen/ Herren
 ≥ 100 N Kinder</t>
  </si>
  <si>
    <t xml:space="preserve">PFI 00/1003
 BS 5131 Part 5.11</t>
  </si>
  <si>
    <t xml:space="preserve">SATRA TM181</t>
  </si>
  <si>
    <t xml:space="preserve">Biegefestigkeit</t>
  </si>
  <si>
    <t xml:space="preserve">Flexibility,Widerstandsfähigkeit/ Biegefestigkeit von kompletten Schuhen bei 30.000x Wiederholungen
 keine Beschädigung</t>
  </si>
  <si>
    <t xml:space="preserve">SATRA TM 92
 Ganzschuh-Biegeprüfung</t>
  </si>
  <si>
    <t xml:space="preserve">SATRA TM 92
Whole Shoe Flex</t>
  </si>
  <si>
    <t xml:space="preserve">Dauerbiegeverhalten</t>
  </si>
  <si>
    <t xml:space="preserve">Dauerbiegeverhalten Laufsohle (nur bei kritischem Sohlendesign und Konstruktion)
 30.000 x
 ≤ 6
 keine zusätzliche Rissbildung</t>
  </si>
  <si>
    <t xml:space="preserve">DIN EN ISO 17707</t>
  </si>
  <si>
    <t xml:space="preserve">ASTM D1052</t>
  </si>
  <si>
    <t xml:space="preserve">Dynamische Absatzstabilität</t>
  </si>
  <si>
    <t xml:space="preserve">100.000 x
 kein Lösen / keine Beschädigung</t>
  </si>
  <si>
    <t xml:space="preserve">PFI 00/1002
 DIN EN ISO 19956</t>
  </si>
  <si>
    <t xml:space="preserve">SATRA TM104 
Method 2 (Fatigue resistance of whole shoe backpart)</t>
  </si>
  <si>
    <t xml:space="preserve">Dämpfungsverhalten</t>
  </si>
  <si>
    <t xml:space="preserve">Dämpfungsverhalten/Schockabsorbtion/Stoßdämpfung</t>
  </si>
  <si>
    <t xml:space="preserve">ASTM F1976</t>
  </si>
  <si>
    <t xml:space="preserve">ASTM D1614 
shock Absorption of Outsoles and 
other material</t>
  </si>
  <si>
    <t xml:space="preserve">Farbechtheit gegen Reiben</t>
  </si>
  <si>
    <t xml:space="preserve">Textilien
 Farbechtheit gegen Reiben
 100 x 
 trocken
 Stufe der Grauskala
 ≥ 2-3 
 trocken
 ----------------------
 50 x 
 nass
 ≥ 2-3
 nass
 ----------------------
 20 x 
 pH8 
 ≥ 2-3
 pH8 
 ---------------
 Leder
 20 x 
 trocken
 ≥ 2
 trocken
 ----------------------
 10 x
 nass 
 ≥ 2
 nass 
 ----------------------
 10 x
 pH8
 ≥ 2
 pH8</t>
  </si>
  <si>
    <t xml:space="preserve">DIN EN ISO 17700 A</t>
  </si>
  <si>
    <t xml:space="preserve">AATCC 8 / 116</t>
  </si>
  <si>
    <t xml:space="preserve">Haftung der Laufsohle</t>
  </si>
  <si>
    <t xml:space="preserve">Spitze
 Ballenbereich
 Casual Schuhe Damen, Herren, Kinder*
 ≥ 300N
 ≥ 200N 
 Modische Schuhe*
 ≥ 200N
 ≥ 100N 
 Modische Spitzenform*
 ≥ 150N
 ≥ 100N 
 Hausschuhe
 ≥ 100N
 ≥ 100N
 * Anmerkung:
 Die einzelnen Schuhtypen werden anhand der Laufsohlenbreite (Verklebungsfläche) definiert.
 Die Laufsohlenbreite wird 2 cm unterhalb der Laufsohlenspitze quer zur Laufsohle gemessen.
 Damen, Herren, Kinder: Laufsohlenbreite &gt; 4,5 cm
 Modische Schuhe: Laufsohlenbreite 3,0 - 4,5 cm
 Modische Spitzenform: Laufsohlenbreite &lt; 3,0 cm
 * Direkt angespritzte Sohlen sind von der Prüfung ausgeschlossen.</t>
  </si>
  <si>
    <t xml:space="preserve">DIN TS 53263</t>
  </si>
  <si>
    <t xml:space="preserve">SATRA TM 404/411</t>
  </si>
  <si>
    <t xml:space="preserve">Innenlänge</t>
  </si>
  <si>
    <t xml:space="preserve">Innenlängenmessung: Passfähigkeit; Größenkennzeichnung 
 max 1/2 Größe zu klein/groß, 3mm Toleranz</t>
  </si>
  <si>
    <t xml:space="preserve">Labor Innenlängen: PFI 00/1060
 ,,praktische'' Innenlänge: Brannock measurement</t>
  </si>
  <si>
    <t xml:space="preserve">Materialdicke</t>
  </si>
  <si>
    <t xml:space="preserve">Schuhriemen: ≤20% Abweichung zum Soll
 Schuhsohle: max.20% Abweichung zum Soll</t>
  </si>
  <si>
    <t xml:space="preserve">PFI00/1174
 Textile Materialien: DIN EN ISO 5084
 Leder: DIN EN ISO 2589</t>
  </si>
  <si>
    <t xml:space="preserve">ASTM D1777 FOR TEXTILE MATERIAL AND IN HOUSE METHOD FOR OTHER MATERIALS (or ISO Method)</t>
  </si>
  <si>
    <t xml:space="preserve">Scheuerfestigkeit</t>
  </si>
  <si>
    <t xml:space="preserve">Fersenfutter
 51.200 x trocken
 12.800 x nass
 keine Beschädigung 
 Scheuerbeständigkeit Fersenfutter
 (Martindale-Methode) (außer Canvas-Material und Konstruktion mit vertikaler Fersennaht, sowie Warmfutter)</t>
  </si>
  <si>
    <t xml:space="preserve">DIN EN 13520</t>
  </si>
  <si>
    <t xml:space="preserve">ASTM D4966</t>
  </si>
  <si>
    <t xml:space="preserve">Schälwiderstand</t>
  </si>
  <si>
    <t xml:space="preserve">Bandage 
 ≥ 2,5 N/mm</t>
  </si>
  <si>
    <t xml:space="preserve">DIN EN ISO 1392</t>
  </si>
  <si>
    <t xml:space="preserve">Sohlenhärte</t>
  </si>
  <si>
    <t xml:space="preserve">Toleranz von +/- 5 Shore</t>
  </si>
  <si>
    <t xml:space="preserve">DIN EN ISO 868</t>
  </si>
  <si>
    <t xml:space="preserve">ASTM D2240/
SATRA TM 205</t>
  </si>
  <si>
    <t xml:space="preserve">Traktionskontrolle 
 Bodenhaftung</t>
  </si>
  <si>
    <t xml:space="preserve">Traktionskontrolle
 Extreme grip (PSA insofern Eigenschaft beworben)
 Condiition A: ≥ 0,31 µ
 Condiition B: ≥ 0,36 µ
 Zusätzlich bei Kennzeichnung "SR":
 Condiition C: ≥ 0,31 µ
 Condiition D: ≥ 0,36 µ</t>
  </si>
  <si>
    <t xml:space="preserve">DIN EN ISO 13287 
 DIN EN ISO 20345 (PSA Schuhe)</t>
  </si>
  <si>
    <t xml:space="preserve">ASTM F2913 - Test Method for Measuring the Coefficient of Friction for Evaluation of Slip Performance of Footwear and Test Surfaces/Flooring Using a Whole Shoe Tester</t>
  </si>
  <si>
    <t xml:space="preserve">Wasserabweisung dynamisch</t>
  </si>
  <si>
    <t xml:space="preserve">Wasserabweisung 
 ≥ 30 min
 Anmerkung:
 Wasserniveau 15 mm über Sohlenrand in Biegezone</t>
  </si>
  <si>
    <t xml:space="preserve">DIN SPEC 53264</t>
  </si>
  <si>
    <t xml:space="preserve">SATRA TM 77</t>
  </si>
  <si>
    <t xml:space="preserve">Wasserdichtigkeit (dynamisch)</t>
  </si>
  <si>
    <t xml:space="preserve">Funktionsschuhe, Regenstiefel
 Wasserdicht
 ≥ 300 min*
 *Gilt nur für Regenstiefel
 Wasserdicht (BEST)
 ≥ 180 min
 Wasserdicht (Good / Better)
 ≥ 120 min
 Anmerkung:
 Wasserniveau 15 mm über Sohlenrand in Biegezone
 Stiftung Warentest Scope Wanderschuhe: 
 180 min. ohne Membrane
 360 min. mit Membrane</t>
  </si>
  <si>
    <t xml:space="preserve">Widerstandsfähigkeit Obermaterial</t>
  </si>
  <si>
    <t xml:space="preserve">Dauerhaft haltbares Obermaterial 
 keine Beschädigung</t>
  </si>
  <si>
    <t xml:space="preserve">ASTM D7255 
(Taber Abrasion)</t>
  </si>
  <si>
    <t xml:space="preserve">Windabweisung</t>
  </si>
  <si>
    <t xml:space="preserve">windabweisend, keine Einschränkung der Gebrauchseigenschaft</t>
  </si>
  <si>
    <t xml:space="preserve">DIN EN ISO 9327</t>
  </si>
  <si>
    <t xml:space="preserve">ASTM D737
Air Permeability</t>
  </si>
  <si>
    <t xml:space="preserve">Textilphysik</t>
  </si>
  <si>
    <t xml:space="preserve">Anti-Filz-Ausrüstung</t>
  </si>
  <si>
    <t xml:space="preserve">Muss den Anforderungen der Woolmark® -Spezifikation für Anti-Filz Ausrüstung entsprechen; keine signifikante Filzbildung oder Dimensionsänderung nach Prüfung gemäß Woolmark® Test Methode 31.</t>
  </si>
  <si>
    <t xml:space="preserve">Woolmark® Test Methode 31
Prüfung erfolgt durch ein von Woolmark® akreditiertes Labor</t>
  </si>
  <si>
    <t xml:space="preserve">Woolmark® Test Method 31
Testing performed by a Woolmark® accredited laboratory</t>
  </si>
  <si>
    <t xml:space="preserve">Antibakterielle Aktivität</t>
  </si>
  <si>
    <t xml:space="preserve">modifiziert, Kontaktzeit 24 h bis Mitteilung von Lidl erfolgt, dass Änderung auf 1 h erfolgt- geforderter Reduktionswert: mind. 90 % (gegen Blindprobe)</t>
  </si>
  <si>
    <t xml:space="preserve">DIN EN ISO 20743</t>
  </si>
  <si>
    <t xml:space="preserve">ASTM modified E2149-10
EPA Certificate for chemical</t>
  </si>
  <si>
    <t xml:space="preserve">Antimykotische Aktivität</t>
  </si>
  <si>
    <t xml:space="preserve">Im Berdarfsfall z.B. Produktauslobung
die Anforderung ist kein Wachstum</t>
  </si>
  <si>
    <t xml:space="preserve">AATCC 30 (2017) Test III</t>
  </si>
  <si>
    <t xml:space="preserve">Atmungsaktivität</t>
  </si>
  <si>
    <t xml:space="preserve">Alltagskleidung mit Atmungsaktivität: Wasserdampfdurchgangswiderstand / Sondervereinbarungen Vertrag
 --&gt; Leistungsgrade: 
 13,0 - 20,0 m^2 Pa/W zufriedenstellen
  6,0 - 13,0 m^2 Pa/W gut</t>
  </si>
  <si>
    <t xml:space="preserve">ISO 11092</t>
  </si>
  <si>
    <t xml:space="preserve">ASTM F1868</t>
  </si>
  <si>
    <t xml:space="preserve">Aussehen, Geruch und Griff nach einer Pflegebehandlung</t>
  </si>
  <si>
    <t xml:space="preserve">Keine Auffälligkeiten</t>
  </si>
  <si>
    <t xml:space="preserve">Prüfhausmethode: In Miele Haushalts-Waschmaschine
ISO 15797: Arbeitskleidung mit industrieller Reinigung</t>
  </si>
  <si>
    <t xml:space="preserve">Ref. AATCC TS 008
per care label: 
no noticeable changes</t>
  </si>
  <si>
    <t xml:space="preserve">Leder: Keine Auffälligkeiten / 
Farbtonänderung: mind. 3 (nach Pflegeanleitung)</t>
  </si>
  <si>
    <t xml:space="preserve">Textilien: Reinigung gemäß Carelabel
Arbeitskleidung mit industrieller Reinigung: ISO 15797
Heimtextilien/ Verbrauchertextilien: ISO 6330</t>
  </si>
  <si>
    <t xml:space="preserve">AATCC TS 008</t>
  </si>
  <si>
    <t xml:space="preserve">Bezug Matratzen</t>
  </si>
  <si>
    <t xml:space="preserve">Bestimmung der Pillneigung nach DIN EN ISO 12945-2: 2000-11 
 Überprüfung und Beurteilung der Waschbarkeit des Bezuges
 Beurteilung der Verarbeitungsqualität 
 Beurteilung der Konfektionierung</t>
  </si>
  <si>
    <t xml:space="preserve">DIN EN ISO 12945-2</t>
  </si>
  <si>
    <t xml:space="preserve">D4970/D4970M-22</t>
  </si>
  <si>
    <t xml:space="preserve">Deklaration Matratzen</t>
  </si>
  <si>
    <t xml:space="preserve">Überprüfung der Werbeaussagen und Produktinformation</t>
  </si>
  <si>
    <t xml:space="preserve">_</t>
  </si>
  <si>
    <t xml:space="preserve">In-house method</t>
  </si>
  <si>
    <t xml:space="preserve">Fadendichte</t>
  </si>
  <si>
    <t xml:space="preserve">Bestimmung der Anzahl der Fäden je Längeneinheit, wenn im Prüfauftrag angegeben (± 5%)</t>
  </si>
  <si>
    <t xml:space="preserve">DIN EN ISO 7211-2</t>
  </si>
  <si>
    <t xml:space="preserve">ASTM D 3775</t>
  </si>
  <si>
    <t xml:space="preserve">Faserfeinheit</t>
  </si>
  <si>
    <t xml:space="preserve">wenn Mikrofasern ausgelobt wurden: 
 ≤ 1,0 dtex</t>
  </si>
  <si>
    <t xml:space="preserve">DIN EN ISO 137:2016-09</t>
  </si>
  <si>
    <t xml:space="preserve">ASTM D6466</t>
  </si>
  <si>
    <t xml:space="preserve">Fasermigration</t>
  </si>
  <si>
    <t xml:space="preserve">wattierte Artikel
mind. Note 2</t>
  </si>
  <si>
    <t xml:space="preserve">DIN 53865</t>
  </si>
  <si>
    <t xml:space="preserve">FTMS 191 method 5530</t>
  </si>
  <si>
    <t xml:space="preserve">Festigkeit von Gürtelschlaufen bei Bademänteln</t>
  </si>
  <si>
    <t xml:space="preserve">Keine Auffälligkeiten; 
 die Überprüfung erfolgt mittels Handversuch</t>
  </si>
  <si>
    <t xml:space="preserve">Kein anwendbarer Standard
Prüfhausmethode</t>
  </si>
  <si>
    <t xml:space="preserve">ASTM D 1683</t>
  </si>
  <si>
    <t xml:space="preserve">Flächengewicht</t>
  </si>
  <si>
    <t xml:space="preserve">Bei Bekleidung:                 
 ± 5 %                 
Bei Strumpfwaren:        
+ 10 % / - 5 %        
Nur bei Schaumstoff-Füllung (Matratzen, Matratzentopper und -auflagen, Nackenstützkissen, Venenkissen, Stützkissen, Boden- und Palettenkissen)</t>
  </si>
  <si>
    <t xml:space="preserve">DIN EN 12127</t>
  </si>
  <si>
    <t xml:space="preserve">ASTM D3887 
(Strick / Knits) 
(cross references D3776)
ASTM D3776
(Webware / Wovens)</t>
  </si>
  <si>
    <t xml:space="preserve">Funktionalität mechanischer Verschlüsse</t>
  </si>
  <si>
    <t xml:space="preserve">Reißverschluss-Verhalten; Funktionalität von Druckknöpfen
--&gt; Keine Auffälligkeiten; Handversuch auf Funktionalität und Dokumentation im Bericht</t>
  </si>
  <si>
    <t xml:space="preserve">Kein anwendbarer Standard,
Prüfhausmethode</t>
  </si>
  <si>
    <t xml:space="preserve">ASTM D2061/ASTM D2062 (mechanical test)</t>
  </si>
  <si>
    <t xml:space="preserve">Geruch</t>
  </si>
  <si>
    <t xml:space="preserve">Sensorisch; kein unangenehmer oder belästigender Geruch</t>
  </si>
  <si>
    <t xml:space="preserve">Kein anwendbarer Standard / Prüfhausmethode</t>
  </si>
  <si>
    <t xml:space="preserve">ISO 17299-2 detector tube method
ISO 17299-3 Gas Chromatography method
Amonia: min70% odor reduction
Acetic Acid:min 70% odor reduction
Isovaleric acid:min 85% odor reduction</t>
  </si>
  <si>
    <t xml:space="preserve">Gesamtmaße</t>
  </si>
  <si>
    <t xml:space="preserve">Die Gesamtmaße müssen nach der Pflegebehandlung den Sollvorgaben entsprechen (max. ± 3 % Abweichung von den Sollvorgaben</t>
  </si>
  <si>
    <t xml:space="preserve">DIN EN ISO 5077
DIN EN ISO 3759
Miele Haushalts-Waschmaschine</t>
  </si>
  <si>
    <t xml:space="preserve">AATCC modified 135 (Fabric)                
AATCC modified 150 (Garment)</t>
  </si>
  <si>
    <t xml:space="preserve">Gesundheit und Umwelt Matratzen</t>
  </si>
  <si>
    <t xml:space="preserve">Gesundheit und Umwelt</t>
  </si>
  <si>
    <t xml:space="preserve">Ergo Support Inhouse Methode</t>
  </si>
  <si>
    <t xml:space="preserve">Haltbarkeit Matratzen</t>
  </si>
  <si>
    <t xml:space="preserve">Bestimmung des Federungsverlustfaktors (nach Abschluss der Dauerhaltbarkeitsprüfungen)
 Bestimmung der technischen Kennwerte der Matratze im Neuzustand
 10b Dauerhaltbarkeit in Anlehnung an DIN EN 1957 – Walze 30.000 Zyklen
 Bestimmung der technischen Kennwerte der Matratze nach der Dauerbelastung
 Bestimmung der Zoneneinteilung mittels Stempelmethode
 Einfluss von Feuchtigkeit und Temperatur auf die Dauerhaltbarkeit (2. Prüfmuster erforderlich)
 Bewertung im Neuzustand und nach 100 Zyklen bewalzen und Klimatisierung</t>
  </si>
  <si>
    <t xml:space="preserve">DIN EN 1957</t>
  </si>
  <si>
    <t xml:space="preserve">F1566-14(2021)</t>
  </si>
  <si>
    <t xml:space="preserve">Handhabung Matratzen</t>
  </si>
  <si>
    <t xml:space="preserve">Überprüfung und Beurteilung der Handhabung der Matratze</t>
  </si>
  <si>
    <t xml:space="preserve">Heimtex Nackenstützkissen mit kühlender Geleinlage: Kühlende Wirkung</t>
  </si>
  <si>
    <t xml:space="preserve">delta Rct &gt; 0,1 m2K/W zwischen Geleinlage und normalem Kissenmaterial</t>
  </si>
  <si>
    <t xml:space="preserve">Klimakomfort</t>
  </si>
  <si>
    <t xml:space="preserve">Sportartikel:
Spezifische Sportartikel mit Atmungsaktivität:
 Wasserdampfdurchgangswiderstand / Wasserdampfdurchlässigkeit
 --&gt; Sondervereinbarungen Vertrag
Matratzen:
 Ret &lt; 100 m2Pa/W
Topper:
Ret &lt; 60 m2Pa/W
Kissenbezug:
Ret &lt; 15 m2Pa/W
Bettdecke &amp; Kopfkissen:
Ret &lt; 80 m2Pa/W</t>
  </si>
  <si>
    <t xml:space="preserve">ASTM E-96
JIS L 1099 (Japanische Industrie Norm / japanese Industrial Standard)
ASTM F1868</t>
  </si>
  <si>
    <t xml:space="preserve">Kühlungseffekt</t>
  </si>
  <si>
    <t xml:space="preserve">Kühlender Effekt bei Auslobung:
 Messung des kühlen Berührungsgefühls (Kissen &amp; Decken)
 wenn ausgelobt
 ≥ 0,1 W/cm² 
 JIS L 1927:2020 (Temperatur: 20±2℃, relative Luftfeuchte: 65±4%RH; ΔT=10K)</t>
  </si>
  <si>
    <t xml:space="preserve">JIS L 1927:2020 (Temperatur: 20±2℃, relative Luftfeuchte: 65±4%RH; ΔT=10K)</t>
  </si>
  <si>
    <t xml:space="preserve">CNS 15687  L3272
GB/T 35263-2017
FTTS FA 019
Knit ≥0.130 W/cm2
Woven ≥0.170 W/cm2</t>
  </si>
  <si>
    <t xml:space="preserve">Lederdicke</t>
  </si>
  <si>
    <t xml:space="preserve">Sondervereinbarungen Vertrag, je nach Tierart und Anwendungsbereich</t>
  </si>
  <si>
    <t xml:space="preserve">ISO 2589</t>
  </si>
  <si>
    <t xml:space="preserve">ASTM D 1813</t>
  </si>
  <si>
    <t xml:space="preserve">Liegeeigenschaften Matratzen</t>
  </si>
  <si>
    <t xml:space="preserve">Beurteilung der Abstützeigenschaften (Versuchspersonentypen A-F) in Rücken- und Seitenlage (Messung vor und nach der Dauerhaltbarkeitsprüfung 
 Bestimmung der Kontaktfläche zwischen anthropomorphem Dummy und Matratze
 Ermittlung und Bewertung des Lageänderungswiderstandes
 Ermittlung und Bewertung des Schulterklappeffektes
 Technische Messung der Feuchteaufnahme
 Technische Messung der thermischen Isolationseigenschaften
 Ermittlung und Beurteilung der Druckverteilung
 Ermittlung und Beurteilung der Gesamtdruckverteilung</t>
  </si>
  <si>
    <t xml:space="preserve">Luftdurchlässigkeit</t>
  </si>
  <si>
    <t xml:space="preserve">Leistungsgrade:
≤ 5 mm/s Winddicht                  
≤ 8 mm/s Windabweisend</t>
  </si>
  <si>
    <t xml:space="preserve">DIN EN ISO 9237</t>
  </si>
  <si>
    <t xml:space="preserve">ASTM D737</t>
  </si>
  <si>
    <t xml:space="preserve">Materialzertifizierung bei Fasern und Ausrüstung</t>
  </si>
  <si>
    <t xml:space="preserve">Materialzertifizierung bei Fasern und Ausrüstung (z.B. kühlend, anti-odor, etc.)
z.B. Bio Baumwolle, Lenzing EcoVero, S-Café, HeiQ etc. 
Dokumentennachweis zum EUG oder späteren Zeitpunkt</t>
  </si>
  <si>
    <t xml:space="preserve">Hausmethode des Markenherstellers</t>
  </si>
  <si>
    <t xml:space="preserve">Maßabweichungen im Neuzustand</t>
  </si>
  <si>
    <t xml:space="preserve">für Artikel ohne Maßtabelle (Handtücher, Taschen, etc.)
Die Überprüfung erfolgt während der PSI Inspektion
Webware        
unter 10 cm: ± 0,5 cm                
10-60 cm: ± 1,0 cm                
über 60 cm: + 2,0 cm / -1,0 cm                 
Maschenwaren               
unter10 cm: ±  0,5 cm
10-35 cm: ± 1,0 cm                
über 35 cm: + 2,0 cm / -1,0 cm                
Gürtel                      
Breite &amp; Dicke: ± 0,5 cm
Länge: ± 1,0 cm
Haarschmuck,
Schmuck + 0,0 cm / -2,0 cm                        
Duschvorhänge, Fußmatten, Teppiche
über 35 cm: + 2,0 cm / -1,0 cm</t>
  </si>
  <si>
    <t xml:space="preserve">DIN EN ISO 3759
Abschnitt 6</t>
  </si>
  <si>
    <t xml:space="preserve">AATCC 135 / 150 / 158</t>
  </si>
  <si>
    <t xml:space="preserve">Maßänderung bei chemisch Reinigung und ggfs. Bügeln</t>
  </si>
  <si>
    <t xml:space="preserve">Maschenwaren: ± 3 %
Webware: ± 2 %
Feinripp &amp; Doppelripp: + 2 % / - 7 %
Frottierware: + 2 % / - 6 % 
Mulltücher: + 2 % / - 7 %
Die Prüfung der Maßänderung erfolgt bei:
- Artikel, ohne Passformprüfung
- Artikel, die nach Serbien ausgeliefert werden (Gemäß DIN EN ISO 3759 Abschnitt 6)
Für Artikel, an denen eine Passformprüfung durchgeführt wird, gilt:           
Die Passformanforderungen des Bereiches Bekleidungstechnik für den konfektionierten Artikel sind nach der Pflegebehandlung einzuhalten.</t>
  </si>
  <si>
    <t xml:space="preserve">DIN EN ISO 3175-2
DIN EN ISO 5077
DIN EN ISO 3759
(Gemäß DIN EN ISO 3759 Abschnitt 6) 
(Gemäß DIN EN ISO 3759 Abschnitt 7)</t>
  </si>
  <si>
    <t xml:space="preserve">Maßänderung nach dem Waschen, Trocknen und Bügeln</t>
  </si>
  <si>
    <t xml:space="preserve">Maschenwaren: + 2 % / - 5 %
Webware: ± 3 %
Feinripp &amp; Doppelripp:+ 2 % / - 7 %
Frottierware: + 2 % / - 6 % 
Mulltücher: + 2 % / - 7 %</t>
  </si>
  <si>
    <t xml:space="preserve">Maßänderung nach dem Waschen, Trocknen und Bügeln bei "Sanforausrüstung"</t>
  </si>
  <si>
    <t xml:space="preserve">Gewebe:
max. 1 %; bei Tumblertrocknung und an konfektionierten Teilen max. 2,5 %
Maschenware
max. + 2 % / - 5 %; bei Tumblertrocknung</t>
  </si>
  <si>
    <t xml:space="preserve">DIN EN ISO 6330 
DIN EN ISO 5077
DIN EN ISO 3759</t>
  </si>
  <si>
    <t xml:space="preserve">Nahtschiebewiderstand</t>
  </si>
  <si>
    <t xml:space="preserve">Hemden und Blusen:
enganliegende Hemden und Blusen
60 N: max. 3 mm Nahtöffnung
Jeans:	
nur bei enganliegenden Jeans (mit Ausnahme PES-Gemische):
120 N: max. 3 mm Nahtöffnung</t>
  </si>
  <si>
    <t xml:space="preserve">DIN EN ISO 13936-2</t>
  </si>
  <si>
    <t xml:space="preserve">Pillneigung</t>
  </si>
  <si>
    <t xml:space="preserve">mind.4 bei 2000 Touren
 (bei Auslobung Anti-Pilling)
 mind. 3 bei 2000 Touren
 (bei Woll-/ Kaschmirartikel) 
 Grenzwert bezieht sich auf Pillbildung, Flusenbildung und Verfilzung</t>
  </si>
  <si>
    <t xml:space="preserve">ASTM D4970: 
(Martindale Pilling Method)</t>
  </si>
  <si>
    <t xml:space="preserve">Polyvinylchlorid (PVC)</t>
  </si>
  <si>
    <t xml:space="preserve">generell nicht zugelassen; Verwendung nur nach Absprache mit Lidl</t>
  </si>
  <si>
    <t xml:space="preserve">Beilstein Methode</t>
  </si>
  <si>
    <t xml:space="preserve">Produktetikett-Kontrolle</t>
  </si>
  <si>
    <t xml:space="preserve">Einhaltung entsprechender Anforderungen und Kennzeichnungen</t>
  </si>
  <si>
    <t xml:space="preserve">Sichtungskontrolle</t>
  </si>
  <si>
    <t xml:space="preserve">Visual assessment</t>
  </si>
  <si>
    <t xml:space="preserve">Rutschhemmung</t>
  </si>
  <si>
    <t xml:space="preserve">Griffigkeit (Anti-Rutsch beschichtete Läufer/Teppiche)
--&gt; 0.4 µ minimum</t>
  </si>
  <si>
    <t xml:space="preserve">ASTM F609
0.4 µ minimum</t>
  </si>
  <si>
    <t xml:space="preserve">Schimmelkeimzahlbestimmung (KBE)</t>
  </si>
  <si>
    <t xml:space="preserve">Im Berdarfsfall z.B. Verdacht auf Schimmelbelastung
 Mikrobilogische Untersuchung mit Bestimmung der durch Schimmel verursachten Keimbelastung (KBE = Kolonien Bildenende Einheiten) 
 Als Spezifikation gilt zunächst ein Wert von 200 KBE/g. 
 Methodenbeschreibung:
 Elution des Textils oder einer entsprechenden Teilprobe mit 0,85% iger NaCl-Lösung 
 (Stomacher)
 Membranfiltration des Eluats (ca. 10 mL)
 Inkubation auf Sabouraud Agar über 7 Tage bei RT</t>
  </si>
  <si>
    <t xml:space="preserve">Methode nach Europäischem Arzneibuch
 (Ph. Eur.)</t>
  </si>
  <si>
    <t xml:space="preserve">Schlingenfestigkeit 
 (Frottiergewebe)</t>
  </si>
  <si>
    <t xml:space="preserve">≥ 200 cN nach drei Pflegebehandlungen</t>
  </si>
  <si>
    <t xml:space="preserve">DIN EN 15598</t>
  </si>
  <si>
    <t xml:space="preserve">Schrägverzug</t>
  </si>
  <si>
    <t xml:space="preserve">Gewebt: 3.0 max.
Gestrickt: 5.0 max.</t>
  </si>
  <si>
    <t xml:space="preserve">ISO 16322-1/-2/-3 mod.</t>
  </si>
  <si>
    <t xml:space="preserve">AATCC 179</t>
  </si>
  <si>
    <t xml:space="preserve">Selbstglättungsverhalten (+Nahtkräuseln)</t>
  </si>
  <si>
    <t xml:space="preserve">mind. 3 (bügelfrei) 
 mind. 2 (bügelleicht)</t>
  </si>
  <si>
    <t xml:space="preserve">DIN EN ISO 15487</t>
  </si>
  <si>
    <t xml:space="preserve">AATCC 143</t>
  </si>
  <si>
    <t xml:space="preserve">Strapazierfähigkeit</t>
  </si>
  <si>
    <t xml:space="preserve">ASTM D4157                                                                                                                                                                                                                                                                                                                                                                                     Wyzenbeek method
15000 double rubs 
(before and after wash)</t>
  </si>
  <si>
    <t xml:space="preserve">Trocknungszeit</t>
  </si>
  <si>
    <t xml:space="preserve">Prüfung bei Ausrüstung, in Kombination mit Auslobung einer Schnelltrocknung unter Verwendung von 4-Kanalfasern oder Chemical Wicking Trocknungszeit 80 %;
 Prüfung erfolgt nach einer Pflegebehandlung:
 45 Min (+ 10 Min) PES + PES/EL-Mischung 
 60 Min (+ 10 Min) PA + PA/EL-Mischung 
 60 Min (+ 10 Min) PES + PES/EL-Mischung Flächengewicht &gt; 180 g/m² und/oder geraute Ware
 Bei allen weiteren Mischungen von PES und PA gilt die Anforderung für PA.</t>
  </si>
  <si>
    <t xml:space="preserve">ISO 17617
 Methode B (modifiziert)</t>
  </si>
  <si>
    <t xml:space="preserve">AATCC 199 / 
AATCC 200 / 
AATCC 201</t>
  </si>
  <si>
    <t xml:space="preserve">Verpackungsetikett-Kontrolle</t>
  </si>
  <si>
    <t xml:space="preserve">Wasseraufnahme</t>
  </si>
  <si>
    <t xml:space="preserve">Steighöhenverfahren
 Prüfung bei Ausrüstung, in Kombination mit Auslobung einer Schnelltrocknung unter Verwendung von 4-Kanalfasern oder Chemical Wicking;
 Prüfung erfolgt nach einer Pflegebehandlung: 
 ≥ 50 mm in 180 Sekunden</t>
  </si>
  <si>
    <t xml:space="preserve">DIN 53924</t>
  </si>
  <si>
    <t xml:space="preserve">AATCC 197</t>
  </si>
  <si>
    <t xml:space="preserve">Wasseraufnahme
 &lt; 15 s Handtücher
 &lt; 1 s Textilien</t>
  </si>
  <si>
    <t xml:space="preserve">DIN EN 14697</t>
  </si>
  <si>
    <t xml:space="preserve">ASTM D4772-14
AATCC79</t>
  </si>
  <si>
    <t xml:space="preserve">pH-Wert</t>
  </si>
  <si>
    <t xml:space="preserve">4,0 – 7,5 (Baby und Kleinkinder, Hautkontakt)
 4,0 – 9,0 (ohne Hautkontakt) 
 3,5 – 8,0 (Leder)</t>
  </si>
  <si>
    <t xml:space="preserve">DIN EN ISO 3071
 DIN EN ISO 4045 (für Lederartikel)</t>
  </si>
  <si>
    <t xml:space="preserve">AATCC 81</t>
  </si>
  <si>
    <t xml:space="preserve">Ölabweisung</t>
  </si>
  <si>
    <t xml:space="preserve">mind. 4 bei Schmutz- und Fleckenabweisung              
entsprechend Produkt gemäß Vertrag</t>
  </si>
  <si>
    <t xml:space="preserve">DIN EN ISO 14419</t>
  </si>
  <si>
    <t xml:space="preserve">AATCC 118</t>
  </si>
</sst>
</file>

<file path=xl/styles.xml><?xml version="1.0" encoding="utf-8"?>
<styleSheet xmlns="http://schemas.openxmlformats.org/spreadsheetml/2006/main">
  <numFmts count="2">
    <numFmt numFmtId="164" formatCode="General"/>
    <numFmt numFmtId="165" formatCode="#,##0.00&quot; €&quot;"/>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sz val="10"/>
      <name val="WenQuanYi Zen Hei"/>
      <family val="2"/>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FFF2CC"/>
        </patternFill>
      </fill>
    </dxf>
    <dxf>
      <fill>
        <patternFill patternType="solid">
          <fgColor rgb="FF9C5700"/>
          <bgColor rgb="FF000000"/>
        </patternFill>
      </fill>
    </dxf>
    <dxf>
      <font>
        <name val="Arial"/>
        <charset val="1"/>
        <family val="0"/>
        <b val="1"/>
        <color rgb="FF9C5700"/>
        <sz val="10"/>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9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45.75" hidden="false" customHeight="true" outlineLevel="0" collapsed="false">
      <c r="A5" s="4" t="s">
        <v>5</v>
      </c>
      <c r="B5" s="5" t="n">
        <v>121</v>
      </c>
      <c r="C5" s="6" t="s">
        <v>6</v>
      </c>
    </row>
    <row r="6" customFormat="false" ht="45.75" hidden="false" customHeight="true" outlineLevel="0" collapsed="false">
      <c r="A6" s="4" t="s">
        <v>7</v>
      </c>
      <c r="B6" s="5" t="n">
        <v>28</v>
      </c>
      <c r="C6" s="6" t="s">
        <v>8</v>
      </c>
    </row>
    <row r="7" customFormat="false" ht="45.75" hidden="false" customHeight="true" outlineLevel="0" collapsed="false">
      <c r="A7" s="4" t="s">
        <v>9</v>
      </c>
      <c r="B7" s="5" t="n">
        <v>179</v>
      </c>
      <c r="C7" s="6" t="s">
        <v>10</v>
      </c>
    </row>
    <row r="8" customFormat="false" ht="45.75" hidden="false" customHeight="true" outlineLevel="0" collapsed="false">
      <c r="A8" s="4" t="s">
        <v>11</v>
      </c>
      <c r="B8" s="5" t="n">
        <v>185</v>
      </c>
      <c r="C8" s="6" t="s">
        <v>12</v>
      </c>
    </row>
    <row r="9" customFormat="false" ht="45.75" hidden="false" customHeight="true" outlineLevel="0" collapsed="false">
      <c r="A9" s="4" t="s">
        <v>13</v>
      </c>
      <c r="B9" s="5" t="n">
        <v>193</v>
      </c>
      <c r="C9" s="6" t="s">
        <v>14</v>
      </c>
    </row>
    <row r="12" customFormat="false" ht="15" hidden="false" customHeight="false" outlineLevel="0" collapsed="false">
      <c r="A12" s="7" t="s">
        <v>15</v>
      </c>
    </row>
    <row r="13" customFormat="false" ht="30" hidden="false" customHeight="true" outlineLevel="0" collapsed="false">
      <c r="A13" s="8" t="s">
        <v>16</v>
      </c>
      <c r="C13" s="6" t="s">
        <v>17</v>
      </c>
    </row>
    <row r="14" customFormat="false" ht="30" hidden="false" customHeight="true" outlineLevel="0" collapsed="false">
      <c r="A14" s="8" t="s">
        <v>16</v>
      </c>
      <c r="C14" s="6" t="s">
        <v>18</v>
      </c>
    </row>
    <row r="15" customFormat="false" ht="30" hidden="false" customHeight="true" outlineLevel="0" collapsed="false">
      <c r="A15" s="8" t="s">
        <v>16</v>
      </c>
      <c r="C15" s="6" t="s">
        <v>19</v>
      </c>
    </row>
    <row r="16" customFormat="false" ht="30" hidden="false" customHeight="true" outlineLevel="0" collapsed="false">
      <c r="A16" s="8" t="s">
        <v>16</v>
      </c>
      <c r="C16" s="6" t="s">
        <v>20</v>
      </c>
    </row>
    <row r="17" customFormat="false" ht="30" hidden="false" customHeight="true" outlineLevel="0" collapsed="false">
      <c r="A17" s="8" t="s">
        <v>16</v>
      </c>
      <c r="C17" s="6" t="s">
        <v>21</v>
      </c>
    </row>
    <row r="18" customFormat="false" ht="30" hidden="false" customHeight="true" outlineLevel="0" collapsed="false">
      <c r="A18" s="8" t="s">
        <v>16</v>
      </c>
      <c r="C18" s="6"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10"/>
    <col collapsed="false" customWidth="true" hidden="false" outlineLevel="0" max="4" min="4" style="0" width="22"/>
    <col collapsed="false" customWidth="true" hidden="false" outlineLevel="0" max="5" min="5" style="0" width="20"/>
    <col collapsed="false" customWidth="true" hidden="false" outlineLevel="0" max="6" min="6" style="0" width="13"/>
    <col collapsed="false" customWidth="true" hidden="false" outlineLevel="0" max="8" min="7" style="0" width="8"/>
    <col collapsed="false" customWidth="true" hidden="false" outlineLevel="0" max="9" min="9" style="0" width="18"/>
    <col collapsed="false" customWidth="true" hidden="false" outlineLevel="0" max="10" min="10" style="0" width="11"/>
    <col collapsed="false" customWidth="true" hidden="false" outlineLevel="0" max="11" min="11" style="0" width="40"/>
    <col collapsed="false" customWidth="true" hidden="false" outlineLevel="0" max="12" min="12" style="0" width="38"/>
    <col collapsed="false" customWidth="true" hidden="false" outlineLevel="0" max="13" min="13" style="0" width="26"/>
    <col collapsed="false" customWidth="true" hidden="false" outlineLevel="0" max="14" min="14" style="0" width="13"/>
    <col collapsed="false" customWidth="true" hidden="false" outlineLevel="0" max="15" min="15" style="0" width="9"/>
    <col collapsed="false" customWidth="true" hidden="false" outlineLevel="0" max="16" min="16" style="0" width="13"/>
    <col collapsed="false" customWidth="true" hidden="true" outlineLevel="0" max="17" min="17" style="0" width="10"/>
  </cols>
  <sheetData>
    <row r="1" customFormat="false" ht="15" hidden="false" customHeight="false" outlineLevel="0" collapsed="false">
      <c r="A1" s="9" t="s">
        <v>23</v>
      </c>
      <c r="B1" s="9"/>
      <c r="C1" s="9"/>
      <c r="D1" s="9"/>
      <c r="E1" s="9"/>
      <c r="F1" s="9"/>
      <c r="G1" s="9"/>
      <c r="H1" s="9"/>
      <c r="I1" s="9"/>
      <c r="J1" s="9"/>
      <c r="K1" s="9"/>
      <c r="L1" s="9"/>
      <c r="M1" s="9"/>
      <c r="N1" s="9"/>
      <c r="O1" s="9"/>
      <c r="P1" s="9"/>
      <c r="Q1" s="9"/>
    </row>
    <row r="2" customFormat="false" ht="30" hidden="false" customHeight="true" outlineLevel="0" collapsed="false">
      <c r="A2" s="10" t="s">
        <v>24</v>
      </c>
      <c r="B2" s="10" t="s">
        <v>25</v>
      </c>
      <c r="C2" s="10" t="s">
        <v>26</v>
      </c>
      <c r="D2" s="10" t="s">
        <v>27</v>
      </c>
      <c r="E2" s="10" t="s">
        <v>28</v>
      </c>
      <c r="F2" s="10" t="s">
        <v>29</v>
      </c>
      <c r="G2" s="10" t="s">
        <v>30</v>
      </c>
      <c r="H2" s="10" t="s">
        <v>31</v>
      </c>
      <c r="I2" s="10" t="s">
        <v>32</v>
      </c>
      <c r="J2" s="10" t="s">
        <v>33</v>
      </c>
      <c r="K2" s="10" t="s">
        <v>7</v>
      </c>
      <c r="L2" s="10" t="s">
        <v>34</v>
      </c>
      <c r="M2" s="10" t="s">
        <v>35</v>
      </c>
      <c r="N2" s="10" t="s">
        <v>36</v>
      </c>
      <c r="O2" s="10" t="s">
        <v>37</v>
      </c>
      <c r="P2" s="10" t="s">
        <v>38</v>
      </c>
      <c r="Q2" s="10" t="s">
        <v>39</v>
      </c>
    </row>
    <row r="3" customFormat="false" ht="46.25" hidden="false" customHeight="false" outlineLevel="0" collapsed="false">
      <c r="A3" s="11" t="s">
        <v>40</v>
      </c>
      <c r="B3" s="11"/>
      <c r="C3" s="12" t="s">
        <v>41</v>
      </c>
      <c r="D3" s="11"/>
      <c r="E3" s="11"/>
      <c r="F3" s="13"/>
      <c r="G3" s="12" t="s">
        <v>42</v>
      </c>
      <c r="H3" s="12" t="s">
        <v>42</v>
      </c>
      <c r="I3" s="11" t="s">
        <v>43</v>
      </c>
      <c r="J3" s="12" t="n">
        <v>0</v>
      </c>
      <c r="K3" s="11"/>
      <c r="L3" s="11"/>
      <c r="M3" s="11"/>
      <c r="N3" s="12"/>
      <c r="O3" s="12" t="s">
        <v>42</v>
      </c>
      <c r="P3" s="12" t="n">
        <f aca="false">COUNTIF(Prüfanforderungen!$G$3:$G$181,$A3)</f>
        <v>1</v>
      </c>
      <c r="Q3" s="11" t="s">
        <v>44</v>
      </c>
    </row>
    <row r="4" customFormat="false" ht="46.25" hidden="false" customHeight="false" outlineLevel="0" collapsed="false">
      <c r="A4" s="11" t="s">
        <v>45</v>
      </c>
      <c r="B4" s="11"/>
      <c r="C4" s="12" t="s">
        <v>41</v>
      </c>
      <c r="D4" s="11"/>
      <c r="E4" s="11"/>
      <c r="F4" s="13"/>
      <c r="G4" s="12" t="s">
        <v>42</v>
      </c>
      <c r="H4" s="12" t="s">
        <v>42</v>
      </c>
      <c r="I4" s="11" t="s">
        <v>43</v>
      </c>
      <c r="J4" s="12" t="n">
        <v>0</v>
      </c>
      <c r="K4" s="11"/>
      <c r="L4" s="11"/>
      <c r="M4" s="11"/>
      <c r="N4" s="12"/>
      <c r="O4" s="12" t="s">
        <v>42</v>
      </c>
      <c r="P4" s="12" t="n">
        <f aca="false">COUNTIF(Prüfanforderungen!$G$3:$G$181,$A4)</f>
        <v>1</v>
      </c>
      <c r="Q4" s="11" t="s">
        <v>46</v>
      </c>
    </row>
    <row r="5" customFormat="false" ht="46.25" hidden="false" customHeight="false" outlineLevel="0" collapsed="false">
      <c r="A5" s="11" t="s">
        <v>47</v>
      </c>
      <c r="B5" s="11"/>
      <c r="C5" s="12" t="s">
        <v>48</v>
      </c>
      <c r="D5" s="11"/>
      <c r="E5" s="11"/>
      <c r="F5" s="13"/>
      <c r="G5" s="12" t="s">
        <v>42</v>
      </c>
      <c r="H5" s="12" t="s">
        <v>42</v>
      </c>
      <c r="I5" s="11" t="s">
        <v>43</v>
      </c>
      <c r="J5" s="12" t="n">
        <v>0</v>
      </c>
      <c r="K5" s="11"/>
      <c r="L5" s="11"/>
      <c r="M5" s="11"/>
      <c r="N5" s="12"/>
      <c r="O5" s="12" t="s">
        <v>42</v>
      </c>
      <c r="P5" s="12" t="n">
        <f aca="false">COUNTIF(Prüfanforderungen!$G$3:$G$181,$A5)</f>
        <v>1</v>
      </c>
      <c r="Q5" s="11" t="s">
        <v>49</v>
      </c>
    </row>
    <row r="6" customFormat="false" ht="46.25" hidden="false" customHeight="false" outlineLevel="0" collapsed="false">
      <c r="A6" s="11" t="s">
        <v>50</v>
      </c>
      <c r="B6" s="11"/>
      <c r="C6" s="12" t="s">
        <v>48</v>
      </c>
      <c r="D6" s="11"/>
      <c r="E6" s="11"/>
      <c r="F6" s="13"/>
      <c r="G6" s="12" t="s">
        <v>42</v>
      </c>
      <c r="H6" s="12" t="s">
        <v>42</v>
      </c>
      <c r="I6" s="11" t="s">
        <v>43</v>
      </c>
      <c r="J6" s="12" t="n">
        <v>0</v>
      </c>
      <c r="K6" s="11"/>
      <c r="L6" s="11" t="s">
        <v>51</v>
      </c>
      <c r="M6" s="11"/>
      <c r="N6" s="12"/>
      <c r="O6" s="12" t="s">
        <v>42</v>
      </c>
      <c r="P6" s="12" t="n">
        <f aca="false">COUNTIF(Prüfanforderungen!$G$3:$G$181,$A6)</f>
        <v>70</v>
      </c>
      <c r="Q6" s="11" t="s">
        <v>52</v>
      </c>
    </row>
    <row r="7" customFormat="false" ht="57.45" hidden="false" customHeight="false" outlineLevel="0" collapsed="false">
      <c r="A7" s="11" t="s">
        <v>53</v>
      </c>
      <c r="B7" s="11"/>
      <c r="C7" s="12" t="s">
        <v>48</v>
      </c>
      <c r="D7" s="11"/>
      <c r="E7" s="11"/>
      <c r="F7" s="13"/>
      <c r="G7" s="12" t="s">
        <v>42</v>
      </c>
      <c r="H7" s="12" t="s">
        <v>42</v>
      </c>
      <c r="I7" s="11" t="s">
        <v>43</v>
      </c>
      <c r="J7" s="12" t="n">
        <v>0</v>
      </c>
      <c r="K7" s="11"/>
      <c r="L7" s="11" t="s">
        <v>54</v>
      </c>
      <c r="M7" s="11"/>
      <c r="N7" s="12"/>
      <c r="O7" s="12" t="s">
        <v>42</v>
      </c>
      <c r="P7" s="12" t="n">
        <f aca="false">COUNTIF(Prüfanforderungen!$G$3:$G$181,$A7)</f>
        <v>1</v>
      </c>
      <c r="Q7" s="11" t="s">
        <v>55</v>
      </c>
    </row>
    <row r="8" customFormat="false" ht="35.05" hidden="false" customHeight="false" outlineLevel="0" collapsed="false">
      <c r="A8" s="11" t="s">
        <v>56</v>
      </c>
      <c r="B8" s="11"/>
      <c r="C8" s="12" t="s">
        <v>48</v>
      </c>
      <c r="D8" s="11"/>
      <c r="E8" s="11"/>
      <c r="F8" s="13"/>
      <c r="G8" s="12" t="s">
        <v>42</v>
      </c>
      <c r="H8" s="12" t="s">
        <v>42</v>
      </c>
      <c r="I8" s="11" t="s">
        <v>43</v>
      </c>
      <c r="J8" s="12" t="n">
        <v>0</v>
      </c>
      <c r="K8" s="11"/>
      <c r="L8" s="11"/>
      <c r="M8" s="11"/>
      <c r="N8" s="12"/>
      <c r="O8" s="12" t="s">
        <v>42</v>
      </c>
      <c r="P8" s="12" t="n">
        <f aca="false">COUNTIF(Prüfanforderungen!$G$3:$G$181,$A8)</f>
        <v>1</v>
      </c>
      <c r="Q8" s="11" t="s">
        <v>57</v>
      </c>
    </row>
    <row r="9" customFormat="false" ht="46.25" hidden="false" customHeight="false" outlineLevel="0" collapsed="false">
      <c r="A9" s="11" t="s">
        <v>58</v>
      </c>
      <c r="B9" s="11"/>
      <c r="C9" s="12" t="s">
        <v>48</v>
      </c>
      <c r="D9" s="11"/>
      <c r="E9" s="11"/>
      <c r="F9" s="13"/>
      <c r="G9" s="12" t="s">
        <v>42</v>
      </c>
      <c r="H9" s="12" t="s">
        <v>42</v>
      </c>
      <c r="I9" s="11" t="s">
        <v>43</v>
      </c>
      <c r="J9" s="12" t="n">
        <v>0</v>
      </c>
      <c r="K9" s="11"/>
      <c r="L9" s="11" t="s">
        <v>59</v>
      </c>
      <c r="M9" s="11"/>
      <c r="N9" s="12"/>
      <c r="O9" s="12" t="s">
        <v>42</v>
      </c>
      <c r="P9" s="12" t="n">
        <f aca="false">COUNTIF(Prüfanforderungen!$G$3:$G$181,$A9)</f>
        <v>1</v>
      </c>
      <c r="Q9" s="11" t="s">
        <v>60</v>
      </c>
    </row>
    <row r="10" customFormat="false" ht="46.25" hidden="false" customHeight="false" outlineLevel="0" collapsed="false">
      <c r="A10" s="11" t="s">
        <v>61</v>
      </c>
      <c r="B10" s="11"/>
      <c r="C10" s="12" t="s">
        <v>48</v>
      </c>
      <c r="D10" s="11"/>
      <c r="E10" s="11"/>
      <c r="F10" s="13"/>
      <c r="G10" s="12" t="s">
        <v>42</v>
      </c>
      <c r="H10" s="12" t="s">
        <v>42</v>
      </c>
      <c r="I10" s="11" t="s">
        <v>43</v>
      </c>
      <c r="J10" s="12" t="n">
        <v>0</v>
      </c>
      <c r="K10" s="11"/>
      <c r="L10" s="11"/>
      <c r="M10" s="11"/>
      <c r="N10" s="12"/>
      <c r="O10" s="12" t="s">
        <v>42</v>
      </c>
      <c r="P10" s="12" t="n">
        <f aca="false">COUNTIF(Prüfanforderungen!$G$3:$G$181,$A10)</f>
        <v>1</v>
      </c>
      <c r="Q10" s="11" t="s">
        <v>62</v>
      </c>
    </row>
    <row r="11" customFormat="false" ht="46.25" hidden="false" customHeight="false" outlineLevel="0" collapsed="false">
      <c r="A11" s="11" t="s">
        <v>63</v>
      </c>
      <c r="B11" s="11"/>
      <c r="C11" s="12" t="s">
        <v>48</v>
      </c>
      <c r="D11" s="11"/>
      <c r="E11" s="11"/>
      <c r="F11" s="13"/>
      <c r="G11" s="12" t="s">
        <v>42</v>
      </c>
      <c r="H11" s="12" t="s">
        <v>42</v>
      </c>
      <c r="I11" s="11" t="s">
        <v>43</v>
      </c>
      <c r="J11" s="12" t="n">
        <v>0</v>
      </c>
      <c r="K11" s="11"/>
      <c r="L11" s="11"/>
      <c r="M11" s="11"/>
      <c r="N11" s="12"/>
      <c r="O11" s="12" t="s">
        <v>42</v>
      </c>
      <c r="P11" s="12" t="n">
        <f aca="false">COUNTIF(Prüfanforderungen!$G$3:$G$181,$A11)</f>
        <v>1</v>
      </c>
      <c r="Q11" s="11" t="s">
        <v>64</v>
      </c>
    </row>
    <row r="12" customFormat="false" ht="46.25" hidden="false" customHeight="false" outlineLevel="0" collapsed="false">
      <c r="A12" s="11" t="s">
        <v>65</v>
      </c>
      <c r="B12" s="11"/>
      <c r="C12" s="12" t="s">
        <v>66</v>
      </c>
      <c r="D12" s="11"/>
      <c r="E12" s="11"/>
      <c r="F12" s="13"/>
      <c r="G12" s="12" t="s">
        <v>42</v>
      </c>
      <c r="H12" s="12" t="s">
        <v>42</v>
      </c>
      <c r="I12" s="11" t="s">
        <v>43</v>
      </c>
      <c r="J12" s="12" t="n">
        <v>0</v>
      </c>
      <c r="K12" s="11"/>
      <c r="L12" s="11"/>
      <c r="M12" s="11"/>
      <c r="N12" s="12"/>
      <c r="O12" s="12" t="s">
        <v>42</v>
      </c>
      <c r="P12" s="12" t="n">
        <f aca="false">COUNTIF(Prüfanforderungen!$G$3:$G$181,$A12)</f>
        <v>1</v>
      </c>
      <c r="Q12" s="11" t="s">
        <v>67</v>
      </c>
    </row>
    <row r="13" customFormat="false" ht="46.25" hidden="false" customHeight="false" outlineLevel="0" collapsed="false">
      <c r="A13" s="11" t="s">
        <v>68</v>
      </c>
      <c r="B13" s="11"/>
      <c r="C13" s="12" t="s">
        <v>41</v>
      </c>
      <c r="D13" s="11"/>
      <c r="E13" s="11"/>
      <c r="F13" s="13"/>
      <c r="G13" s="12" t="s">
        <v>42</v>
      </c>
      <c r="H13" s="12" t="s">
        <v>42</v>
      </c>
      <c r="I13" s="11" t="s">
        <v>43</v>
      </c>
      <c r="J13" s="12" t="n">
        <v>0</v>
      </c>
      <c r="K13" s="11"/>
      <c r="L13" s="11"/>
      <c r="M13" s="11"/>
      <c r="N13" s="12"/>
      <c r="O13" s="12" t="s">
        <v>42</v>
      </c>
      <c r="P13" s="12" t="n">
        <f aca="false">COUNTIF(Prüfanforderungen!$G$3:$G$181,$A13)</f>
        <v>1</v>
      </c>
      <c r="Q13" s="11" t="s">
        <v>69</v>
      </c>
    </row>
    <row r="14" customFormat="false" ht="46.25" hidden="false" customHeight="false" outlineLevel="0" collapsed="false">
      <c r="A14" s="11" t="s">
        <v>70</v>
      </c>
      <c r="B14" s="11"/>
      <c r="C14" s="12" t="s">
        <v>48</v>
      </c>
      <c r="D14" s="11"/>
      <c r="E14" s="11"/>
      <c r="F14" s="13"/>
      <c r="G14" s="12" t="s">
        <v>42</v>
      </c>
      <c r="H14" s="12" t="s">
        <v>42</v>
      </c>
      <c r="I14" s="11" t="s">
        <v>43</v>
      </c>
      <c r="J14" s="12" t="n">
        <v>0</v>
      </c>
      <c r="K14" s="11"/>
      <c r="L14" s="11"/>
      <c r="M14" s="11"/>
      <c r="N14" s="12"/>
      <c r="O14" s="12" t="s">
        <v>42</v>
      </c>
      <c r="P14" s="12" t="n">
        <f aca="false">COUNTIF(Prüfanforderungen!$G$3:$G$181,$A14)</f>
        <v>1</v>
      </c>
      <c r="Q14" s="11" t="s">
        <v>71</v>
      </c>
    </row>
    <row r="15" customFormat="false" ht="46.25" hidden="false" customHeight="false" outlineLevel="0" collapsed="false">
      <c r="A15" s="11" t="s">
        <v>72</v>
      </c>
      <c r="B15" s="11"/>
      <c r="C15" s="12" t="s">
        <v>48</v>
      </c>
      <c r="D15" s="11"/>
      <c r="E15" s="11"/>
      <c r="F15" s="13"/>
      <c r="G15" s="12" t="s">
        <v>42</v>
      </c>
      <c r="H15" s="12" t="s">
        <v>42</v>
      </c>
      <c r="I15" s="11" t="s">
        <v>43</v>
      </c>
      <c r="J15" s="12" t="n">
        <v>0</v>
      </c>
      <c r="K15" s="11"/>
      <c r="L15" s="11" t="s">
        <v>73</v>
      </c>
      <c r="M15" s="11"/>
      <c r="N15" s="12"/>
      <c r="O15" s="12" t="s">
        <v>42</v>
      </c>
      <c r="P15" s="12" t="n">
        <f aca="false">COUNTIF(Prüfanforderungen!$G$3:$G$181,$A15)</f>
        <v>0</v>
      </c>
      <c r="Q15" s="11" t="s">
        <v>74</v>
      </c>
    </row>
    <row r="16" customFormat="false" ht="46.25" hidden="false" customHeight="false" outlineLevel="0" collapsed="false">
      <c r="A16" s="11" t="s">
        <v>75</v>
      </c>
      <c r="B16" s="11"/>
      <c r="C16" s="12" t="s">
        <v>66</v>
      </c>
      <c r="D16" s="11"/>
      <c r="E16" s="11"/>
      <c r="F16" s="13"/>
      <c r="G16" s="12" t="s">
        <v>42</v>
      </c>
      <c r="H16" s="12" t="s">
        <v>42</v>
      </c>
      <c r="I16" s="11" t="s">
        <v>43</v>
      </c>
      <c r="J16" s="12" t="n">
        <v>0</v>
      </c>
      <c r="K16" s="11"/>
      <c r="L16" s="11"/>
      <c r="M16" s="11"/>
      <c r="N16" s="12"/>
      <c r="O16" s="12" t="s">
        <v>42</v>
      </c>
      <c r="P16" s="12" t="n">
        <f aca="false">COUNTIF(Prüfanforderungen!$G$3:$G$181,$A16)</f>
        <v>1</v>
      </c>
      <c r="Q16" s="11" t="s">
        <v>76</v>
      </c>
    </row>
    <row r="17" customFormat="false" ht="46.25" hidden="false" customHeight="false" outlineLevel="0" collapsed="false">
      <c r="A17" s="11" t="s">
        <v>77</v>
      </c>
      <c r="B17" s="11"/>
      <c r="C17" s="12" t="s">
        <v>41</v>
      </c>
      <c r="D17" s="11"/>
      <c r="E17" s="11"/>
      <c r="F17" s="13"/>
      <c r="G17" s="12" t="s">
        <v>42</v>
      </c>
      <c r="H17" s="12" t="s">
        <v>42</v>
      </c>
      <c r="I17" s="11" t="s">
        <v>43</v>
      </c>
      <c r="J17" s="12" t="n">
        <v>0</v>
      </c>
      <c r="K17" s="11"/>
      <c r="L17" s="11" t="s">
        <v>78</v>
      </c>
      <c r="M17" s="11"/>
      <c r="N17" s="12"/>
      <c r="O17" s="12" t="s">
        <v>42</v>
      </c>
      <c r="P17" s="12" t="n">
        <f aca="false">COUNTIF(Prüfanforderungen!$G$3:$G$181,$A17)</f>
        <v>1</v>
      </c>
      <c r="Q17" s="11" t="s">
        <v>79</v>
      </c>
    </row>
    <row r="18" customFormat="false" ht="46.25" hidden="false" customHeight="false" outlineLevel="0" collapsed="false">
      <c r="A18" s="11" t="s">
        <v>80</v>
      </c>
      <c r="B18" s="11"/>
      <c r="C18" s="12" t="s">
        <v>41</v>
      </c>
      <c r="D18" s="11"/>
      <c r="E18" s="11"/>
      <c r="F18" s="13"/>
      <c r="G18" s="12" t="s">
        <v>42</v>
      </c>
      <c r="H18" s="12" t="s">
        <v>42</v>
      </c>
      <c r="I18" s="11" t="s">
        <v>43</v>
      </c>
      <c r="J18" s="12" t="n">
        <v>0</v>
      </c>
      <c r="K18" s="11"/>
      <c r="L18" s="11"/>
      <c r="M18" s="11"/>
      <c r="N18" s="12"/>
      <c r="O18" s="12" t="s">
        <v>42</v>
      </c>
      <c r="P18" s="12" t="n">
        <f aca="false">COUNTIF(Prüfanforderungen!$G$3:$G$181,$A18)</f>
        <v>0</v>
      </c>
      <c r="Q18" s="11" t="s">
        <v>81</v>
      </c>
    </row>
    <row r="19" customFormat="false" ht="35.05" hidden="false" customHeight="false" outlineLevel="0" collapsed="false">
      <c r="A19" s="11" t="s">
        <v>82</v>
      </c>
      <c r="B19" s="11"/>
      <c r="C19" s="12" t="s">
        <v>41</v>
      </c>
      <c r="D19" s="11"/>
      <c r="E19" s="11"/>
      <c r="F19" s="13"/>
      <c r="G19" s="12" t="s">
        <v>42</v>
      </c>
      <c r="H19" s="12" t="s">
        <v>42</v>
      </c>
      <c r="I19" s="11" t="s">
        <v>43</v>
      </c>
      <c r="J19" s="12" t="n">
        <v>0</v>
      </c>
      <c r="K19" s="11"/>
      <c r="L19" s="11"/>
      <c r="M19" s="11"/>
      <c r="N19" s="12"/>
      <c r="O19" s="12" t="s">
        <v>42</v>
      </c>
      <c r="P19" s="12" t="n">
        <f aca="false">COUNTIF(Prüfanforderungen!$G$3:$G$181,$A19)</f>
        <v>1</v>
      </c>
      <c r="Q19" s="11" t="s">
        <v>83</v>
      </c>
    </row>
    <row r="20" customFormat="false" ht="46.25" hidden="false" customHeight="false" outlineLevel="0" collapsed="false">
      <c r="A20" s="11" t="s">
        <v>84</v>
      </c>
      <c r="B20" s="11"/>
      <c r="C20" s="12" t="s">
        <v>41</v>
      </c>
      <c r="D20" s="11"/>
      <c r="E20" s="11"/>
      <c r="F20" s="13"/>
      <c r="G20" s="12" t="s">
        <v>42</v>
      </c>
      <c r="H20" s="12" t="s">
        <v>42</v>
      </c>
      <c r="I20" s="11" t="s">
        <v>43</v>
      </c>
      <c r="J20" s="12" t="n">
        <v>0</v>
      </c>
      <c r="K20" s="11"/>
      <c r="L20" s="11"/>
      <c r="M20" s="11"/>
      <c r="N20" s="12"/>
      <c r="O20" s="12" t="s">
        <v>42</v>
      </c>
      <c r="P20" s="12" t="n">
        <f aca="false">COUNTIF(Prüfanforderungen!$G$3:$G$181,$A20)</f>
        <v>1</v>
      </c>
      <c r="Q20" s="11" t="s">
        <v>85</v>
      </c>
    </row>
    <row r="21" customFormat="false" ht="46.25" hidden="false" customHeight="false" outlineLevel="0" collapsed="false">
      <c r="A21" s="11" t="s">
        <v>86</v>
      </c>
      <c r="B21" s="11"/>
      <c r="C21" s="12" t="s">
        <v>41</v>
      </c>
      <c r="D21" s="11"/>
      <c r="E21" s="11"/>
      <c r="F21" s="13"/>
      <c r="G21" s="12" t="s">
        <v>42</v>
      </c>
      <c r="H21" s="12" t="s">
        <v>42</v>
      </c>
      <c r="I21" s="11" t="s">
        <v>43</v>
      </c>
      <c r="J21" s="12" t="n">
        <v>0</v>
      </c>
      <c r="K21" s="11"/>
      <c r="L21" s="11"/>
      <c r="M21" s="11"/>
      <c r="N21" s="12"/>
      <c r="O21" s="12" t="s">
        <v>42</v>
      </c>
      <c r="P21" s="12" t="n">
        <f aca="false">COUNTIF(Prüfanforderungen!$G$3:$G$181,$A21)</f>
        <v>2</v>
      </c>
      <c r="Q21" s="11" t="s">
        <v>87</v>
      </c>
    </row>
    <row r="22" customFormat="false" ht="46.25" hidden="false" customHeight="false" outlineLevel="0" collapsed="false">
      <c r="A22" s="11" t="s">
        <v>88</v>
      </c>
      <c r="B22" s="11"/>
      <c r="C22" s="12" t="s">
        <v>48</v>
      </c>
      <c r="D22" s="11"/>
      <c r="E22" s="11" t="s">
        <v>89</v>
      </c>
      <c r="F22" s="13"/>
      <c r="G22" s="12" t="s">
        <v>42</v>
      </c>
      <c r="H22" s="12" t="s">
        <v>42</v>
      </c>
      <c r="I22" s="11"/>
      <c r="J22" s="12" t="n">
        <v>0</v>
      </c>
      <c r="K22" s="11"/>
      <c r="L22" s="11"/>
      <c r="M22" s="11"/>
      <c r="N22" s="12"/>
      <c r="O22" s="12" t="s">
        <v>42</v>
      </c>
      <c r="P22" s="12" t="n">
        <f aca="false">COUNTIF(Prüfanforderungen!$G$3:$G$181,$A22)</f>
        <v>0</v>
      </c>
      <c r="Q22" s="11" t="s">
        <v>90</v>
      </c>
    </row>
    <row r="23" customFormat="false" ht="91" hidden="false" customHeight="false" outlineLevel="0" collapsed="false">
      <c r="A23" s="11" t="s">
        <v>91</v>
      </c>
      <c r="B23" s="11"/>
      <c r="C23" s="12" t="s">
        <v>66</v>
      </c>
      <c r="D23" s="11"/>
      <c r="E23" s="11" t="s">
        <v>92</v>
      </c>
      <c r="F23" s="13"/>
      <c r="G23" s="12" t="s">
        <v>42</v>
      </c>
      <c r="H23" s="12" t="s">
        <v>42</v>
      </c>
      <c r="I23" s="11" t="s">
        <v>43</v>
      </c>
      <c r="J23" s="12" t="n">
        <v>0</v>
      </c>
      <c r="K23" s="11"/>
      <c r="L23" s="11"/>
      <c r="M23" s="11"/>
      <c r="N23" s="12"/>
      <c r="O23" s="12" t="s">
        <v>42</v>
      </c>
      <c r="P23" s="12" t="n">
        <f aca="false">COUNTIF(Prüfanforderungen!$G$3:$G$181,$A23)</f>
        <v>1</v>
      </c>
      <c r="Q23" s="11" t="s">
        <v>93</v>
      </c>
    </row>
    <row r="24" customFormat="false" ht="46.25" hidden="false" customHeight="false" outlineLevel="0" collapsed="false">
      <c r="A24" s="11" t="s">
        <v>94</v>
      </c>
      <c r="B24" s="11"/>
      <c r="C24" s="12" t="s">
        <v>66</v>
      </c>
      <c r="D24" s="11"/>
      <c r="E24" s="11"/>
      <c r="F24" s="13"/>
      <c r="G24" s="12" t="s">
        <v>42</v>
      </c>
      <c r="H24" s="12" t="s">
        <v>42</v>
      </c>
      <c r="I24" s="11" t="s">
        <v>43</v>
      </c>
      <c r="J24" s="12" t="n">
        <v>0</v>
      </c>
      <c r="K24" s="11"/>
      <c r="L24" s="11"/>
      <c r="M24" s="11"/>
      <c r="N24" s="12"/>
      <c r="O24" s="12" t="s">
        <v>42</v>
      </c>
      <c r="P24" s="12" t="n">
        <f aca="false">COUNTIF(Prüfanforderungen!$G$3:$G$181,$A24)</f>
        <v>1</v>
      </c>
      <c r="Q24" s="11" t="s">
        <v>95</v>
      </c>
    </row>
    <row r="25" customFormat="false" ht="46.25" hidden="false" customHeight="false" outlineLevel="0" collapsed="false">
      <c r="A25" s="11" t="s">
        <v>96</v>
      </c>
      <c r="B25" s="11"/>
      <c r="C25" s="12" t="s">
        <v>66</v>
      </c>
      <c r="D25" s="11"/>
      <c r="E25" s="11"/>
      <c r="F25" s="13"/>
      <c r="G25" s="12" t="s">
        <v>42</v>
      </c>
      <c r="H25" s="12" t="s">
        <v>42</v>
      </c>
      <c r="I25" s="11" t="s">
        <v>43</v>
      </c>
      <c r="J25" s="12" t="n">
        <v>0</v>
      </c>
      <c r="K25" s="11"/>
      <c r="L25" s="11"/>
      <c r="M25" s="11"/>
      <c r="N25" s="12"/>
      <c r="O25" s="12" t="s">
        <v>42</v>
      </c>
      <c r="P25" s="12" t="n">
        <f aca="false">COUNTIF(Prüfanforderungen!$G$3:$G$181,$A25)</f>
        <v>1</v>
      </c>
      <c r="Q25" s="11" t="s">
        <v>97</v>
      </c>
    </row>
    <row r="26" customFormat="false" ht="46.25" hidden="false" customHeight="false" outlineLevel="0" collapsed="false">
      <c r="A26" s="11" t="s">
        <v>98</v>
      </c>
      <c r="B26" s="11"/>
      <c r="C26" s="12" t="s">
        <v>66</v>
      </c>
      <c r="D26" s="11"/>
      <c r="E26" s="11"/>
      <c r="F26" s="13"/>
      <c r="G26" s="12" t="s">
        <v>42</v>
      </c>
      <c r="H26" s="12" t="s">
        <v>42</v>
      </c>
      <c r="I26" s="11" t="s">
        <v>43</v>
      </c>
      <c r="J26" s="12" t="n">
        <v>0</v>
      </c>
      <c r="K26" s="11"/>
      <c r="L26" s="11"/>
      <c r="M26" s="11"/>
      <c r="N26" s="12"/>
      <c r="O26" s="12" t="s">
        <v>42</v>
      </c>
      <c r="P26" s="12" t="n">
        <f aca="false">COUNTIF(Prüfanforderungen!$G$3:$G$181,$A26)</f>
        <v>1</v>
      </c>
      <c r="Q26" s="11" t="s">
        <v>99</v>
      </c>
    </row>
    <row r="27" customFormat="false" ht="46.25" hidden="false" customHeight="false" outlineLevel="0" collapsed="false">
      <c r="A27" s="11" t="s">
        <v>100</v>
      </c>
      <c r="B27" s="11"/>
      <c r="C27" s="12" t="s">
        <v>66</v>
      </c>
      <c r="D27" s="11"/>
      <c r="E27" s="11"/>
      <c r="F27" s="13"/>
      <c r="G27" s="12" t="s">
        <v>42</v>
      </c>
      <c r="H27" s="12" t="s">
        <v>42</v>
      </c>
      <c r="I27" s="11" t="s">
        <v>43</v>
      </c>
      <c r="J27" s="12" t="n">
        <v>0</v>
      </c>
      <c r="K27" s="11"/>
      <c r="L27" s="11"/>
      <c r="M27" s="11"/>
      <c r="N27" s="12"/>
      <c r="O27" s="12" t="s">
        <v>42</v>
      </c>
      <c r="P27" s="12" t="n">
        <f aca="false">COUNTIF(Prüfanforderungen!$G$3:$G$181,$A27)</f>
        <v>1</v>
      </c>
      <c r="Q27" s="11" t="s">
        <v>101</v>
      </c>
    </row>
    <row r="28" customFormat="false" ht="46.25" hidden="false" customHeight="false" outlineLevel="0" collapsed="false">
      <c r="A28" s="11" t="s">
        <v>102</v>
      </c>
      <c r="B28" s="11"/>
      <c r="C28" s="12" t="s">
        <v>66</v>
      </c>
      <c r="D28" s="11"/>
      <c r="E28" s="11"/>
      <c r="F28" s="13"/>
      <c r="G28" s="12" t="s">
        <v>42</v>
      </c>
      <c r="H28" s="12" t="s">
        <v>42</v>
      </c>
      <c r="I28" s="11" t="s">
        <v>43</v>
      </c>
      <c r="J28" s="12" t="n">
        <v>0</v>
      </c>
      <c r="K28" s="11"/>
      <c r="L28" s="11"/>
      <c r="M28" s="11"/>
      <c r="N28" s="12"/>
      <c r="O28" s="12" t="s">
        <v>42</v>
      </c>
      <c r="P28" s="12" t="n">
        <f aca="false">COUNTIF(Prüfanforderungen!$G$3:$G$181,$A28)</f>
        <v>1</v>
      </c>
      <c r="Q28" s="11" t="s">
        <v>103</v>
      </c>
    </row>
    <row r="29" customFormat="false" ht="46.25" hidden="false" customHeight="false" outlineLevel="0" collapsed="false">
      <c r="A29" s="11" t="s">
        <v>104</v>
      </c>
      <c r="B29" s="11"/>
      <c r="C29" s="12" t="s">
        <v>66</v>
      </c>
      <c r="D29" s="11"/>
      <c r="E29" s="11"/>
      <c r="F29" s="13"/>
      <c r="G29" s="12" t="s">
        <v>42</v>
      </c>
      <c r="H29" s="12" t="s">
        <v>42</v>
      </c>
      <c r="I29" s="11"/>
      <c r="J29" s="12" t="n">
        <v>0</v>
      </c>
      <c r="K29" s="11"/>
      <c r="L29" s="11"/>
      <c r="M29" s="11"/>
      <c r="N29" s="12"/>
      <c r="O29" s="12" t="s">
        <v>42</v>
      </c>
      <c r="P29" s="12" t="n">
        <f aca="false">COUNTIF(Prüfanforderungen!$G$3:$G$181,$A29)</f>
        <v>2</v>
      </c>
      <c r="Q29" s="11" t="s">
        <v>105</v>
      </c>
    </row>
    <row r="30" customFormat="false" ht="46.25" hidden="false" customHeight="false" outlineLevel="0" collapsed="false">
      <c r="A30" s="11" t="s">
        <v>106</v>
      </c>
      <c r="B30" s="11"/>
      <c r="C30" s="12" t="s">
        <v>66</v>
      </c>
      <c r="D30" s="11"/>
      <c r="E30" s="11"/>
      <c r="F30" s="13"/>
      <c r="G30" s="12" t="s">
        <v>42</v>
      </c>
      <c r="H30" s="12" t="s">
        <v>42</v>
      </c>
      <c r="I30" s="11" t="s">
        <v>43</v>
      </c>
      <c r="J30" s="12" t="n">
        <v>0</v>
      </c>
      <c r="K30" s="11"/>
      <c r="L30" s="11"/>
      <c r="M30" s="11"/>
      <c r="N30" s="12"/>
      <c r="O30" s="12" t="s">
        <v>42</v>
      </c>
      <c r="P30" s="12" t="n">
        <f aca="false">COUNTIF(Prüfanforderungen!$G$3:$G$181,$A30)</f>
        <v>3</v>
      </c>
      <c r="Q30" s="11" t="s">
        <v>107</v>
      </c>
    </row>
    <row r="31" customFormat="false" ht="170.85" hidden="false" customHeight="false" outlineLevel="0" collapsed="false">
      <c r="A31" s="11" t="s">
        <v>108</v>
      </c>
      <c r="B31" s="11"/>
      <c r="C31" s="12" t="s">
        <v>66</v>
      </c>
      <c r="D31" s="11"/>
      <c r="E31" s="11"/>
      <c r="F31" s="13"/>
      <c r="G31" s="12" t="s">
        <v>42</v>
      </c>
      <c r="H31" s="12" t="s">
        <v>42</v>
      </c>
      <c r="I31" s="11" t="s">
        <v>43</v>
      </c>
      <c r="J31" s="12" t="n">
        <v>0</v>
      </c>
      <c r="K31" s="11"/>
      <c r="L31" s="11" t="s">
        <v>109</v>
      </c>
      <c r="M31" s="11"/>
      <c r="N31" s="12"/>
      <c r="O31" s="12" t="s">
        <v>42</v>
      </c>
      <c r="P31" s="12" t="n">
        <f aca="false">COUNTIF(Prüfanforderungen!$G$3:$G$181,$A31)</f>
        <v>1</v>
      </c>
      <c r="Q31" s="11" t="s">
        <v>110</v>
      </c>
    </row>
    <row r="32" customFormat="false" ht="46.25" hidden="false" customHeight="false" outlineLevel="0" collapsed="false">
      <c r="A32" s="11" t="s">
        <v>111</v>
      </c>
      <c r="B32" s="11"/>
      <c r="C32" s="12" t="s">
        <v>66</v>
      </c>
      <c r="D32" s="11"/>
      <c r="E32" s="11"/>
      <c r="F32" s="13"/>
      <c r="G32" s="12" t="s">
        <v>42</v>
      </c>
      <c r="H32" s="12" t="s">
        <v>42</v>
      </c>
      <c r="I32" s="11" t="s">
        <v>43</v>
      </c>
      <c r="J32" s="12" t="n">
        <v>0</v>
      </c>
      <c r="K32" s="11"/>
      <c r="L32" s="11" t="s">
        <v>112</v>
      </c>
      <c r="M32" s="11"/>
      <c r="N32" s="12"/>
      <c r="O32" s="12" t="s">
        <v>42</v>
      </c>
      <c r="P32" s="12" t="n">
        <f aca="false">COUNTIF(Prüfanforderungen!$G$3:$G$181,$A32)</f>
        <v>1</v>
      </c>
      <c r="Q32" s="11" t="s">
        <v>113</v>
      </c>
    </row>
    <row r="33" customFormat="false" ht="46.25" hidden="false" customHeight="false" outlineLevel="0" collapsed="false">
      <c r="A33" s="11" t="s">
        <v>114</v>
      </c>
      <c r="B33" s="11"/>
      <c r="C33" s="12" t="s">
        <v>66</v>
      </c>
      <c r="D33" s="11"/>
      <c r="E33" s="11"/>
      <c r="F33" s="13"/>
      <c r="G33" s="12" t="s">
        <v>42</v>
      </c>
      <c r="H33" s="12" t="s">
        <v>42</v>
      </c>
      <c r="I33" s="11" t="s">
        <v>43</v>
      </c>
      <c r="J33" s="12" t="n">
        <v>0</v>
      </c>
      <c r="K33" s="11"/>
      <c r="L33" s="11"/>
      <c r="M33" s="11"/>
      <c r="N33" s="12"/>
      <c r="O33" s="12" t="s">
        <v>42</v>
      </c>
      <c r="P33" s="12" t="n">
        <f aca="false">COUNTIF(Prüfanforderungen!$G$3:$G$181,$A33)</f>
        <v>2</v>
      </c>
      <c r="Q33" s="11" t="s">
        <v>115</v>
      </c>
    </row>
    <row r="34" customFormat="false" ht="46.25" hidden="false" customHeight="false" outlineLevel="0" collapsed="false">
      <c r="A34" s="11" t="s">
        <v>116</v>
      </c>
      <c r="B34" s="11"/>
      <c r="C34" s="12" t="s">
        <v>66</v>
      </c>
      <c r="D34" s="11"/>
      <c r="E34" s="11"/>
      <c r="F34" s="13"/>
      <c r="G34" s="12" t="s">
        <v>42</v>
      </c>
      <c r="H34" s="12" t="s">
        <v>42</v>
      </c>
      <c r="I34" s="11" t="s">
        <v>43</v>
      </c>
      <c r="J34" s="12" t="n">
        <v>0</v>
      </c>
      <c r="K34" s="11"/>
      <c r="L34" s="11"/>
      <c r="M34" s="11"/>
      <c r="N34" s="12"/>
      <c r="O34" s="12" t="s">
        <v>42</v>
      </c>
      <c r="P34" s="12" t="n">
        <f aca="false">COUNTIF(Prüfanforderungen!$G$3:$G$181,$A34)</f>
        <v>1</v>
      </c>
      <c r="Q34" s="11" t="s">
        <v>117</v>
      </c>
    </row>
    <row r="35" customFormat="false" ht="46.25" hidden="false" customHeight="false" outlineLevel="0" collapsed="false">
      <c r="A35" s="11" t="s">
        <v>118</v>
      </c>
      <c r="B35" s="11"/>
      <c r="C35" s="12" t="s">
        <v>66</v>
      </c>
      <c r="D35" s="11"/>
      <c r="E35" s="11"/>
      <c r="F35" s="13"/>
      <c r="G35" s="12" t="s">
        <v>42</v>
      </c>
      <c r="H35" s="12" t="s">
        <v>42</v>
      </c>
      <c r="I35" s="11" t="s">
        <v>43</v>
      </c>
      <c r="J35" s="12" t="n">
        <v>0</v>
      </c>
      <c r="K35" s="11"/>
      <c r="L35" s="11"/>
      <c r="M35" s="11"/>
      <c r="N35" s="12"/>
      <c r="O35" s="12" t="s">
        <v>42</v>
      </c>
      <c r="P35" s="12" t="n">
        <f aca="false">COUNTIF(Prüfanforderungen!$G$3:$G$181,$A35)</f>
        <v>1</v>
      </c>
      <c r="Q35" s="11" t="s">
        <v>119</v>
      </c>
    </row>
    <row r="36" customFormat="false" ht="46.25" hidden="false" customHeight="false" outlineLevel="0" collapsed="false">
      <c r="A36" s="11" t="s">
        <v>120</v>
      </c>
      <c r="B36" s="11"/>
      <c r="C36" s="12" t="s">
        <v>66</v>
      </c>
      <c r="D36" s="11"/>
      <c r="E36" s="11" t="s">
        <v>92</v>
      </c>
      <c r="F36" s="13"/>
      <c r="G36" s="12" t="s">
        <v>42</v>
      </c>
      <c r="H36" s="12" t="s">
        <v>42</v>
      </c>
      <c r="I36" s="11" t="s">
        <v>43</v>
      </c>
      <c r="J36" s="12" t="n">
        <v>0</v>
      </c>
      <c r="K36" s="11"/>
      <c r="L36" s="11"/>
      <c r="M36" s="11"/>
      <c r="N36" s="12"/>
      <c r="O36" s="12" t="s">
        <v>42</v>
      </c>
      <c r="P36" s="12" t="n">
        <f aca="false">COUNTIF(Prüfanforderungen!$G$3:$G$181,$A36)</f>
        <v>1</v>
      </c>
      <c r="Q36" s="11" t="s">
        <v>121</v>
      </c>
    </row>
    <row r="37" customFormat="false" ht="46.25" hidden="false" customHeight="false" outlineLevel="0" collapsed="false">
      <c r="A37" s="11" t="s">
        <v>122</v>
      </c>
      <c r="B37" s="11"/>
      <c r="C37" s="12" t="s">
        <v>66</v>
      </c>
      <c r="D37" s="11"/>
      <c r="E37" s="11"/>
      <c r="F37" s="13"/>
      <c r="G37" s="12" t="s">
        <v>42</v>
      </c>
      <c r="H37" s="12" t="s">
        <v>42</v>
      </c>
      <c r="I37" s="11" t="s">
        <v>43</v>
      </c>
      <c r="J37" s="12" t="n">
        <v>0</v>
      </c>
      <c r="K37" s="11"/>
      <c r="L37" s="11"/>
      <c r="M37" s="11"/>
      <c r="N37" s="12"/>
      <c r="O37" s="12" t="s">
        <v>42</v>
      </c>
      <c r="P37" s="12" t="n">
        <f aca="false">COUNTIF(Prüfanforderungen!$G$3:$G$181,$A37)</f>
        <v>1</v>
      </c>
      <c r="Q37" s="11" t="s">
        <v>123</v>
      </c>
    </row>
    <row r="38" customFormat="false" ht="46.25" hidden="false" customHeight="false" outlineLevel="0" collapsed="false">
      <c r="A38" s="11" t="s">
        <v>124</v>
      </c>
      <c r="B38" s="11"/>
      <c r="C38" s="12" t="s">
        <v>66</v>
      </c>
      <c r="D38" s="11"/>
      <c r="E38" s="11"/>
      <c r="F38" s="13"/>
      <c r="G38" s="12" t="s">
        <v>42</v>
      </c>
      <c r="H38" s="12" t="s">
        <v>42</v>
      </c>
      <c r="I38" s="11" t="s">
        <v>43</v>
      </c>
      <c r="J38" s="12" t="n">
        <v>0</v>
      </c>
      <c r="K38" s="11"/>
      <c r="L38" s="11" t="s">
        <v>125</v>
      </c>
      <c r="M38" s="11"/>
      <c r="N38" s="12"/>
      <c r="O38" s="12" t="s">
        <v>42</v>
      </c>
      <c r="P38" s="12" t="n">
        <f aca="false">COUNTIF(Prüfanforderungen!$G$3:$G$181,$A38)</f>
        <v>2</v>
      </c>
      <c r="Q38" s="11" t="s">
        <v>126</v>
      </c>
    </row>
    <row r="39" customFormat="false" ht="46.25" hidden="false" customHeight="false" outlineLevel="0" collapsed="false">
      <c r="A39" s="11" t="s">
        <v>127</v>
      </c>
      <c r="B39" s="11"/>
      <c r="C39" s="12" t="s">
        <v>66</v>
      </c>
      <c r="D39" s="11"/>
      <c r="E39" s="11"/>
      <c r="F39" s="13"/>
      <c r="G39" s="12" t="s">
        <v>42</v>
      </c>
      <c r="H39" s="12" t="s">
        <v>42</v>
      </c>
      <c r="I39" s="11" t="s">
        <v>43</v>
      </c>
      <c r="J39" s="12" t="n">
        <v>0</v>
      </c>
      <c r="K39" s="11"/>
      <c r="L39" s="11"/>
      <c r="M39" s="11"/>
      <c r="N39" s="12"/>
      <c r="O39" s="12" t="s">
        <v>42</v>
      </c>
      <c r="P39" s="12" t="n">
        <f aca="false">COUNTIF(Prüfanforderungen!$G$3:$G$181,$A39)</f>
        <v>1</v>
      </c>
      <c r="Q39" s="11" t="s">
        <v>128</v>
      </c>
    </row>
    <row r="40" customFormat="false" ht="46.25" hidden="false" customHeight="false" outlineLevel="0" collapsed="false">
      <c r="A40" s="11" t="s">
        <v>129</v>
      </c>
      <c r="B40" s="11"/>
      <c r="C40" s="12" t="s">
        <v>66</v>
      </c>
      <c r="D40" s="11"/>
      <c r="E40" s="11"/>
      <c r="F40" s="13"/>
      <c r="G40" s="12" t="s">
        <v>42</v>
      </c>
      <c r="H40" s="12" t="s">
        <v>42</v>
      </c>
      <c r="I40" s="11" t="s">
        <v>43</v>
      </c>
      <c r="J40" s="12" t="n">
        <v>0</v>
      </c>
      <c r="K40" s="11"/>
      <c r="L40" s="11"/>
      <c r="M40" s="11"/>
      <c r="N40" s="12"/>
      <c r="O40" s="12" t="s">
        <v>42</v>
      </c>
      <c r="P40" s="12" t="n">
        <f aca="false">COUNTIF(Prüfanforderungen!$G$3:$G$181,$A40)</f>
        <v>1</v>
      </c>
      <c r="Q40" s="11" t="s">
        <v>130</v>
      </c>
    </row>
    <row r="41" customFormat="false" ht="46.25" hidden="false" customHeight="false" outlineLevel="0" collapsed="false">
      <c r="A41" s="11" t="s">
        <v>131</v>
      </c>
      <c r="B41" s="11"/>
      <c r="C41" s="12" t="s">
        <v>66</v>
      </c>
      <c r="D41" s="11"/>
      <c r="E41" s="11"/>
      <c r="F41" s="13"/>
      <c r="G41" s="12" t="s">
        <v>42</v>
      </c>
      <c r="H41" s="12" t="s">
        <v>42</v>
      </c>
      <c r="I41" s="11" t="s">
        <v>43</v>
      </c>
      <c r="J41" s="12" t="n">
        <v>0</v>
      </c>
      <c r="K41" s="11"/>
      <c r="L41" s="11"/>
      <c r="M41" s="11"/>
      <c r="N41" s="12"/>
      <c r="O41" s="12" t="s">
        <v>42</v>
      </c>
      <c r="P41" s="12" t="n">
        <f aca="false">COUNTIF(Prüfanforderungen!$G$3:$G$181,$A41)</f>
        <v>1</v>
      </c>
      <c r="Q41" s="11" t="s">
        <v>132</v>
      </c>
    </row>
    <row r="42" customFormat="false" ht="46.25" hidden="false" customHeight="false" outlineLevel="0" collapsed="false">
      <c r="A42" s="11" t="s">
        <v>133</v>
      </c>
      <c r="B42" s="11"/>
      <c r="C42" s="12" t="s">
        <v>66</v>
      </c>
      <c r="D42" s="11"/>
      <c r="E42" s="11"/>
      <c r="F42" s="13"/>
      <c r="G42" s="12" t="s">
        <v>42</v>
      </c>
      <c r="H42" s="12" t="s">
        <v>42</v>
      </c>
      <c r="I42" s="11" t="s">
        <v>43</v>
      </c>
      <c r="J42" s="12" t="n">
        <v>0</v>
      </c>
      <c r="K42" s="11"/>
      <c r="L42" s="11"/>
      <c r="M42" s="11"/>
      <c r="N42" s="12"/>
      <c r="O42" s="12" t="s">
        <v>42</v>
      </c>
      <c r="P42" s="12" t="n">
        <f aca="false">COUNTIF(Prüfanforderungen!$G$3:$G$181,$A42)</f>
        <v>1</v>
      </c>
      <c r="Q42" s="11" t="s">
        <v>134</v>
      </c>
    </row>
    <row r="43" customFormat="false" ht="46.25" hidden="false" customHeight="false" outlineLevel="0" collapsed="false">
      <c r="A43" s="11" t="s">
        <v>135</v>
      </c>
      <c r="B43" s="11" t="s">
        <v>136</v>
      </c>
      <c r="C43" s="12" t="s">
        <v>66</v>
      </c>
      <c r="D43" s="11"/>
      <c r="E43" s="11"/>
      <c r="F43" s="13"/>
      <c r="G43" s="12" t="s">
        <v>42</v>
      </c>
      <c r="H43" s="12" t="s">
        <v>42</v>
      </c>
      <c r="I43" s="11" t="s">
        <v>43</v>
      </c>
      <c r="J43" s="12" t="n">
        <v>0</v>
      </c>
      <c r="K43" s="11"/>
      <c r="L43" s="11"/>
      <c r="M43" s="11" t="s">
        <v>137</v>
      </c>
      <c r="N43" s="12" t="s">
        <v>138</v>
      </c>
      <c r="O43" s="12" t="s">
        <v>139</v>
      </c>
      <c r="P43" s="12" t="n">
        <f aca="false">COUNTIF(Prüfanforderungen!$G$3:$G$181,$A43)</f>
        <v>0</v>
      </c>
      <c r="Q43" s="11" t="s">
        <v>140</v>
      </c>
    </row>
    <row r="44" customFormat="false" ht="46.25" hidden="false" customHeight="false" outlineLevel="0" collapsed="false">
      <c r="A44" s="11" t="s">
        <v>141</v>
      </c>
      <c r="B44" s="11" t="s">
        <v>142</v>
      </c>
      <c r="C44" s="12" t="s">
        <v>66</v>
      </c>
      <c r="D44" s="11"/>
      <c r="E44" s="11"/>
      <c r="F44" s="13"/>
      <c r="G44" s="12" t="s">
        <v>42</v>
      </c>
      <c r="H44" s="12" t="s">
        <v>42</v>
      </c>
      <c r="I44" s="11" t="s">
        <v>43</v>
      </c>
      <c r="J44" s="12" t="n">
        <v>3</v>
      </c>
      <c r="K44" s="11" t="s">
        <v>143</v>
      </c>
      <c r="L44" s="11"/>
      <c r="M44" s="11" t="s">
        <v>144</v>
      </c>
      <c r="N44" s="12" t="s">
        <v>138</v>
      </c>
      <c r="O44" s="12" t="s">
        <v>139</v>
      </c>
      <c r="P44" s="12" t="n">
        <f aca="false">COUNTIF(Prüfanforderungen!$G$3:$G$181,$A44)</f>
        <v>0</v>
      </c>
      <c r="Q44" s="11" t="s">
        <v>145</v>
      </c>
    </row>
    <row r="45" customFormat="false" ht="113.4" hidden="false" customHeight="false" outlineLevel="0" collapsed="false">
      <c r="A45" s="11" t="s">
        <v>146</v>
      </c>
      <c r="B45" s="11" t="s">
        <v>147</v>
      </c>
      <c r="C45" s="12" t="s">
        <v>66</v>
      </c>
      <c r="D45" s="11"/>
      <c r="E45" s="11"/>
      <c r="F45" s="13"/>
      <c r="G45" s="12" t="s">
        <v>42</v>
      </c>
      <c r="H45" s="12" t="s">
        <v>42</v>
      </c>
      <c r="I45" s="11" t="s">
        <v>43</v>
      </c>
      <c r="J45" s="12" t="n">
        <v>22</v>
      </c>
      <c r="K45" s="11" t="s">
        <v>148</v>
      </c>
      <c r="L45" s="11"/>
      <c r="M45" s="11" t="s">
        <v>149</v>
      </c>
      <c r="N45" s="12" t="s">
        <v>138</v>
      </c>
      <c r="O45" s="12" t="s">
        <v>139</v>
      </c>
      <c r="P45" s="12" t="n">
        <f aca="false">COUNTIF(Prüfanforderungen!$G$3:$G$181,$A45)</f>
        <v>0</v>
      </c>
      <c r="Q45" s="11" t="s">
        <v>150</v>
      </c>
    </row>
    <row r="46" customFormat="false" ht="46.25" hidden="false" customHeight="false" outlineLevel="0" collapsed="false">
      <c r="A46" s="11" t="s">
        <v>151</v>
      </c>
      <c r="B46" s="11"/>
      <c r="C46" s="12" t="s">
        <v>66</v>
      </c>
      <c r="D46" s="11"/>
      <c r="E46" s="11"/>
      <c r="F46" s="13"/>
      <c r="G46" s="12" t="s">
        <v>42</v>
      </c>
      <c r="H46" s="12" t="s">
        <v>42</v>
      </c>
      <c r="I46" s="11" t="s">
        <v>43</v>
      </c>
      <c r="J46" s="12" t="n">
        <v>0</v>
      </c>
      <c r="K46" s="11"/>
      <c r="L46" s="11"/>
      <c r="M46" s="11"/>
      <c r="N46" s="12"/>
      <c r="O46" s="12" t="s">
        <v>42</v>
      </c>
      <c r="P46" s="12" t="n">
        <f aca="false">COUNTIF(Prüfanforderungen!$G$3:$G$181,$A46)</f>
        <v>1</v>
      </c>
      <c r="Q46" s="11" t="s">
        <v>152</v>
      </c>
    </row>
    <row r="47" customFormat="false" ht="46.25" hidden="false" customHeight="false" outlineLevel="0" collapsed="false">
      <c r="A47" s="11" t="s">
        <v>153</v>
      </c>
      <c r="B47" s="11"/>
      <c r="C47" s="12" t="s">
        <v>66</v>
      </c>
      <c r="D47" s="11"/>
      <c r="E47" s="11"/>
      <c r="F47" s="13"/>
      <c r="G47" s="12" t="s">
        <v>42</v>
      </c>
      <c r="H47" s="12" t="s">
        <v>42</v>
      </c>
      <c r="I47" s="11" t="s">
        <v>43</v>
      </c>
      <c r="J47" s="12" t="n">
        <v>0</v>
      </c>
      <c r="K47" s="11"/>
      <c r="L47" s="11"/>
      <c r="M47" s="11"/>
      <c r="N47" s="12"/>
      <c r="O47" s="12" t="s">
        <v>42</v>
      </c>
      <c r="P47" s="12" t="n">
        <f aca="false">COUNTIF(Prüfanforderungen!$G$3:$G$181,$A47)</f>
        <v>1</v>
      </c>
      <c r="Q47" s="11" t="s">
        <v>154</v>
      </c>
    </row>
    <row r="48" customFormat="false" ht="46.25" hidden="false" customHeight="false" outlineLevel="0" collapsed="false">
      <c r="A48" s="11" t="s">
        <v>155</v>
      </c>
      <c r="B48" s="11"/>
      <c r="C48" s="12" t="s">
        <v>66</v>
      </c>
      <c r="D48" s="11"/>
      <c r="E48" s="11"/>
      <c r="F48" s="13"/>
      <c r="G48" s="12" t="s">
        <v>42</v>
      </c>
      <c r="H48" s="12" t="s">
        <v>42</v>
      </c>
      <c r="I48" s="11" t="s">
        <v>43</v>
      </c>
      <c r="J48" s="12" t="n">
        <v>0</v>
      </c>
      <c r="K48" s="11"/>
      <c r="L48" s="11"/>
      <c r="M48" s="11"/>
      <c r="N48" s="12"/>
      <c r="O48" s="12" t="s">
        <v>42</v>
      </c>
      <c r="P48" s="12" t="n">
        <f aca="false">COUNTIF(Prüfanforderungen!$G$3:$G$181,$A48)</f>
        <v>1</v>
      </c>
      <c r="Q48" s="11" t="s">
        <v>156</v>
      </c>
    </row>
    <row r="49" customFormat="false" ht="46.25" hidden="false" customHeight="false" outlineLevel="0" collapsed="false">
      <c r="A49" s="11" t="s">
        <v>157</v>
      </c>
      <c r="B49" s="11"/>
      <c r="C49" s="12" t="s">
        <v>66</v>
      </c>
      <c r="D49" s="11"/>
      <c r="E49" s="11"/>
      <c r="F49" s="13"/>
      <c r="G49" s="12" t="s">
        <v>42</v>
      </c>
      <c r="H49" s="12" t="s">
        <v>42</v>
      </c>
      <c r="I49" s="11" t="s">
        <v>43</v>
      </c>
      <c r="J49" s="12" t="n">
        <v>0</v>
      </c>
      <c r="K49" s="11"/>
      <c r="L49" s="11" t="s">
        <v>158</v>
      </c>
      <c r="M49" s="11"/>
      <c r="N49" s="12"/>
      <c r="O49" s="12" t="s">
        <v>42</v>
      </c>
      <c r="P49" s="12" t="n">
        <f aca="false">COUNTIF(Prüfanforderungen!$G$3:$G$181,$A49)</f>
        <v>1</v>
      </c>
      <c r="Q49" s="11" t="s">
        <v>159</v>
      </c>
    </row>
    <row r="50" customFormat="false" ht="35.05" hidden="false" customHeight="false" outlineLevel="0" collapsed="false">
      <c r="A50" s="11" t="s">
        <v>160</v>
      </c>
      <c r="B50" s="11"/>
      <c r="C50" s="12" t="s">
        <v>66</v>
      </c>
      <c r="D50" s="11"/>
      <c r="E50" s="11"/>
      <c r="F50" s="13"/>
      <c r="G50" s="12" t="s">
        <v>42</v>
      </c>
      <c r="H50" s="12" t="s">
        <v>42</v>
      </c>
      <c r="I50" s="11" t="s">
        <v>43</v>
      </c>
      <c r="J50" s="12" t="n">
        <v>0</v>
      </c>
      <c r="K50" s="11"/>
      <c r="L50" s="11"/>
      <c r="M50" s="11"/>
      <c r="N50" s="12"/>
      <c r="O50" s="12" t="s">
        <v>42</v>
      </c>
      <c r="P50" s="12" t="n">
        <f aca="false">COUNTIF(Prüfanforderungen!$G$3:$G$181,$A50)</f>
        <v>1</v>
      </c>
      <c r="Q50" s="11" t="s">
        <v>161</v>
      </c>
    </row>
    <row r="51" customFormat="false" ht="68.65" hidden="false" customHeight="false" outlineLevel="0" collapsed="false">
      <c r="A51" s="11" t="s">
        <v>162</v>
      </c>
      <c r="B51" s="11"/>
      <c r="C51" s="12" t="s">
        <v>66</v>
      </c>
      <c r="D51" s="11"/>
      <c r="E51" s="11"/>
      <c r="F51" s="13"/>
      <c r="G51" s="12" t="s">
        <v>42</v>
      </c>
      <c r="H51" s="12" t="s">
        <v>42</v>
      </c>
      <c r="I51" s="11" t="s">
        <v>43</v>
      </c>
      <c r="J51" s="12" t="n">
        <v>0</v>
      </c>
      <c r="K51" s="11"/>
      <c r="L51" s="11" t="s">
        <v>163</v>
      </c>
      <c r="M51" s="11"/>
      <c r="N51" s="12"/>
      <c r="O51" s="12" t="s">
        <v>42</v>
      </c>
      <c r="P51" s="12" t="n">
        <f aca="false">COUNTIF(Prüfanforderungen!$G$3:$G$181,$A51)</f>
        <v>1</v>
      </c>
      <c r="Q51" s="11" t="s">
        <v>164</v>
      </c>
    </row>
    <row r="52" customFormat="false" ht="46.25" hidden="false" customHeight="false" outlineLevel="0" collapsed="false">
      <c r="A52" s="11" t="s">
        <v>165</v>
      </c>
      <c r="B52" s="11"/>
      <c r="C52" s="12" t="s">
        <v>66</v>
      </c>
      <c r="D52" s="11"/>
      <c r="E52" s="11"/>
      <c r="F52" s="13"/>
      <c r="G52" s="12" t="s">
        <v>42</v>
      </c>
      <c r="H52" s="12" t="s">
        <v>42</v>
      </c>
      <c r="I52" s="11" t="s">
        <v>43</v>
      </c>
      <c r="J52" s="12" t="n">
        <v>0</v>
      </c>
      <c r="K52" s="11"/>
      <c r="L52" s="11"/>
      <c r="M52" s="11"/>
      <c r="N52" s="12"/>
      <c r="O52" s="12" t="s">
        <v>42</v>
      </c>
      <c r="P52" s="12" t="n">
        <f aca="false">COUNTIF(Prüfanforderungen!$G$3:$G$181,$A52)</f>
        <v>1</v>
      </c>
      <c r="Q52" s="11" t="s">
        <v>166</v>
      </c>
    </row>
    <row r="53" customFormat="false" ht="46.25" hidden="false" customHeight="false" outlineLevel="0" collapsed="false">
      <c r="A53" s="11" t="s">
        <v>167</v>
      </c>
      <c r="B53" s="11"/>
      <c r="C53" s="12" t="s">
        <v>66</v>
      </c>
      <c r="D53" s="11"/>
      <c r="E53" s="11"/>
      <c r="F53" s="13"/>
      <c r="G53" s="12" t="s">
        <v>42</v>
      </c>
      <c r="H53" s="12" t="s">
        <v>42</v>
      </c>
      <c r="I53" s="11" t="s">
        <v>43</v>
      </c>
      <c r="J53" s="12" t="n">
        <v>0</v>
      </c>
      <c r="K53" s="11"/>
      <c r="L53" s="11"/>
      <c r="M53" s="11"/>
      <c r="N53" s="12"/>
      <c r="O53" s="12" t="s">
        <v>42</v>
      </c>
      <c r="P53" s="12" t="n">
        <f aca="false">COUNTIF(Prüfanforderungen!$G$3:$G$181,$A53)</f>
        <v>1</v>
      </c>
      <c r="Q53" s="11" t="s">
        <v>168</v>
      </c>
    </row>
    <row r="54" customFormat="false" ht="46.25" hidden="false" customHeight="false" outlineLevel="0" collapsed="false">
      <c r="A54" s="11" t="s">
        <v>169</v>
      </c>
      <c r="B54" s="11"/>
      <c r="C54" s="12" t="s">
        <v>66</v>
      </c>
      <c r="D54" s="11"/>
      <c r="E54" s="11"/>
      <c r="F54" s="13"/>
      <c r="G54" s="12" t="s">
        <v>42</v>
      </c>
      <c r="H54" s="12" t="s">
        <v>42</v>
      </c>
      <c r="I54" s="11" t="s">
        <v>43</v>
      </c>
      <c r="J54" s="12" t="n">
        <v>0</v>
      </c>
      <c r="K54" s="11"/>
      <c r="L54" s="11"/>
      <c r="M54" s="11"/>
      <c r="N54" s="12"/>
      <c r="O54" s="12" t="s">
        <v>42</v>
      </c>
      <c r="P54" s="12" t="n">
        <f aca="false">COUNTIF(Prüfanforderungen!$G$3:$G$181,$A54)</f>
        <v>1</v>
      </c>
      <c r="Q54" s="11" t="s">
        <v>170</v>
      </c>
    </row>
    <row r="55" customFormat="false" ht="46.25" hidden="false" customHeight="false" outlineLevel="0" collapsed="false">
      <c r="A55" s="11" t="s">
        <v>171</v>
      </c>
      <c r="B55" s="11"/>
      <c r="C55" s="12" t="s">
        <v>66</v>
      </c>
      <c r="D55" s="11"/>
      <c r="E55" s="11"/>
      <c r="F55" s="13"/>
      <c r="G55" s="12" t="s">
        <v>42</v>
      </c>
      <c r="H55" s="12" t="s">
        <v>42</v>
      </c>
      <c r="I55" s="11" t="s">
        <v>43</v>
      </c>
      <c r="J55" s="12" t="n">
        <v>0</v>
      </c>
      <c r="K55" s="11"/>
      <c r="L55" s="11"/>
      <c r="M55" s="11"/>
      <c r="N55" s="12"/>
      <c r="O55" s="12" t="s">
        <v>42</v>
      </c>
      <c r="P55" s="12" t="n">
        <f aca="false">COUNTIF(Prüfanforderungen!$G$3:$G$181,$A55)</f>
        <v>1</v>
      </c>
      <c r="Q55" s="11" t="s">
        <v>172</v>
      </c>
    </row>
    <row r="56" customFormat="false" ht="46.25" hidden="false" customHeight="false" outlineLevel="0" collapsed="false">
      <c r="A56" s="11" t="s">
        <v>173</v>
      </c>
      <c r="B56" s="11"/>
      <c r="C56" s="12" t="s">
        <v>66</v>
      </c>
      <c r="D56" s="11"/>
      <c r="E56" s="11"/>
      <c r="F56" s="13"/>
      <c r="G56" s="12" t="s">
        <v>42</v>
      </c>
      <c r="H56" s="12" t="s">
        <v>42</v>
      </c>
      <c r="I56" s="11" t="s">
        <v>43</v>
      </c>
      <c r="J56" s="12" t="n">
        <v>0</v>
      </c>
      <c r="K56" s="11"/>
      <c r="L56" s="11"/>
      <c r="M56" s="11"/>
      <c r="N56" s="12"/>
      <c r="O56" s="12" t="s">
        <v>42</v>
      </c>
      <c r="P56" s="12" t="n">
        <f aca="false">COUNTIF(Prüfanforderungen!$G$3:$G$181,$A56)</f>
        <v>1</v>
      </c>
      <c r="Q56" s="11" t="s">
        <v>174</v>
      </c>
    </row>
    <row r="57" customFormat="false" ht="35.05" hidden="false" customHeight="false" outlineLevel="0" collapsed="false">
      <c r="A57" s="11" t="s">
        <v>175</v>
      </c>
      <c r="B57" s="11"/>
      <c r="C57" s="12" t="s">
        <v>66</v>
      </c>
      <c r="D57" s="11"/>
      <c r="E57" s="11"/>
      <c r="F57" s="13"/>
      <c r="G57" s="12" t="s">
        <v>42</v>
      </c>
      <c r="H57" s="12" t="s">
        <v>42</v>
      </c>
      <c r="I57" s="11" t="s">
        <v>43</v>
      </c>
      <c r="J57" s="12" t="n">
        <v>0</v>
      </c>
      <c r="K57" s="11"/>
      <c r="L57" s="11"/>
      <c r="M57" s="11"/>
      <c r="N57" s="12"/>
      <c r="O57" s="12" t="s">
        <v>42</v>
      </c>
      <c r="P57" s="12" t="n">
        <f aca="false">COUNTIF(Prüfanforderungen!$G$3:$G$181,$A57)</f>
        <v>1</v>
      </c>
      <c r="Q57" s="11" t="s">
        <v>176</v>
      </c>
    </row>
    <row r="58" customFormat="false" ht="46.25" hidden="false" customHeight="false" outlineLevel="0" collapsed="false">
      <c r="A58" s="11" t="s">
        <v>177</v>
      </c>
      <c r="B58" s="11"/>
      <c r="C58" s="12" t="s">
        <v>66</v>
      </c>
      <c r="D58" s="11"/>
      <c r="E58" s="11"/>
      <c r="F58" s="13"/>
      <c r="G58" s="12" t="s">
        <v>42</v>
      </c>
      <c r="H58" s="12" t="s">
        <v>42</v>
      </c>
      <c r="I58" s="11" t="s">
        <v>43</v>
      </c>
      <c r="J58" s="12" t="n">
        <v>0</v>
      </c>
      <c r="K58" s="11"/>
      <c r="L58" s="11"/>
      <c r="M58" s="11"/>
      <c r="N58" s="12"/>
      <c r="O58" s="12" t="s">
        <v>42</v>
      </c>
      <c r="P58" s="12" t="n">
        <f aca="false">COUNTIF(Prüfanforderungen!$G$3:$G$181,$A58)</f>
        <v>1</v>
      </c>
      <c r="Q58" s="11" t="s">
        <v>178</v>
      </c>
    </row>
    <row r="59" customFormat="false" ht="68.65" hidden="false" customHeight="false" outlineLevel="0" collapsed="false">
      <c r="A59" s="11" t="s">
        <v>179</v>
      </c>
      <c r="B59" s="11"/>
      <c r="C59" s="12" t="s">
        <v>66</v>
      </c>
      <c r="D59" s="11"/>
      <c r="E59" s="11"/>
      <c r="F59" s="13"/>
      <c r="G59" s="12" t="s">
        <v>42</v>
      </c>
      <c r="H59" s="12" t="s">
        <v>42</v>
      </c>
      <c r="I59" s="11" t="s">
        <v>43</v>
      </c>
      <c r="J59" s="12" t="n">
        <v>0</v>
      </c>
      <c r="K59" s="11"/>
      <c r="L59" s="11" t="s">
        <v>180</v>
      </c>
      <c r="M59" s="11"/>
      <c r="N59" s="12"/>
      <c r="O59" s="12" t="s">
        <v>42</v>
      </c>
      <c r="P59" s="12" t="n">
        <f aca="false">COUNTIF(Prüfanforderungen!$G$3:$G$181,$A59)</f>
        <v>1</v>
      </c>
      <c r="Q59" s="11" t="s">
        <v>181</v>
      </c>
    </row>
    <row r="60" customFormat="false" ht="68.65" hidden="false" customHeight="false" outlineLevel="0" collapsed="false">
      <c r="A60" s="11" t="s">
        <v>182</v>
      </c>
      <c r="B60" s="11"/>
      <c r="C60" s="12" t="s">
        <v>66</v>
      </c>
      <c r="D60" s="11"/>
      <c r="E60" s="11"/>
      <c r="F60" s="13"/>
      <c r="G60" s="12" t="s">
        <v>42</v>
      </c>
      <c r="H60" s="12" t="s">
        <v>42</v>
      </c>
      <c r="I60" s="11" t="s">
        <v>43</v>
      </c>
      <c r="J60" s="12" t="n">
        <v>0</v>
      </c>
      <c r="K60" s="11"/>
      <c r="L60" s="11" t="s">
        <v>183</v>
      </c>
      <c r="M60" s="11"/>
      <c r="N60" s="12"/>
      <c r="O60" s="12" t="s">
        <v>42</v>
      </c>
      <c r="P60" s="12" t="n">
        <f aca="false">COUNTIF(Prüfanforderungen!$G$3:$G$181,$A60)</f>
        <v>2</v>
      </c>
      <c r="Q60" s="11" t="s">
        <v>184</v>
      </c>
    </row>
    <row r="61" customFormat="false" ht="113.4" hidden="false" customHeight="false" outlineLevel="0" collapsed="false">
      <c r="A61" s="11" t="s">
        <v>185</v>
      </c>
      <c r="B61" s="11"/>
      <c r="C61" s="12" t="s">
        <v>66</v>
      </c>
      <c r="D61" s="11"/>
      <c r="E61" s="11"/>
      <c r="F61" s="13"/>
      <c r="G61" s="12" t="s">
        <v>42</v>
      </c>
      <c r="H61" s="12" t="s">
        <v>42</v>
      </c>
      <c r="I61" s="11" t="s">
        <v>43</v>
      </c>
      <c r="J61" s="12" t="n">
        <v>0</v>
      </c>
      <c r="K61" s="11"/>
      <c r="L61" s="11" t="s">
        <v>186</v>
      </c>
      <c r="M61" s="11"/>
      <c r="N61" s="12"/>
      <c r="O61" s="12" t="s">
        <v>42</v>
      </c>
      <c r="P61" s="12" t="n">
        <f aca="false">COUNTIF(Prüfanforderungen!$G$3:$G$181,$A61)</f>
        <v>1</v>
      </c>
      <c r="Q61" s="11" t="s">
        <v>187</v>
      </c>
    </row>
    <row r="62" customFormat="false" ht="46.25" hidden="false" customHeight="false" outlineLevel="0" collapsed="false">
      <c r="A62" s="11" t="s">
        <v>188</v>
      </c>
      <c r="B62" s="11"/>
      <c r="C62" s="12" t="s">
        <v>66</v>
      </c>
      <c r="D62" s="11"/>
      <c r="E62" s="11"/>
      <c r="F62" s="13"/>
      <c r="G62" s="12" t="s">
        <v>42</v>
      </c>
      <c r="H62" s="12" t="s">
        <v>42</v>
      </c>
      <c r="I62" s="11" t="s">
        <v>43</v>
      </c>
      <c r="J62" s="12" t="n">
        <v>0</v>
      </c>
      <c r="K62" s="11"/>
      <c r="L62" s="11" t="s">
        <v>189</v>
      </c>
      <c r="M62" s="11"/>
      <c r="N62" s="12"/>
      <c r="O62" s="12" t="s">
        <v>42</v>
      </c>
      <c r="P62" s="12" t="n">
        <f aca="false">COUNTIF(Prüfanforderungen!$G$3:$G$181,$A62)</f>
        <v>1</v>
      </c>
      <c r="Q62" s="11" t="s">
        <v>190</v>
      </c>
    </row>
    <row r="63" customFormat="false" ht="113.4" hidden="false" customHeight="false" outlineLevel="0" collapsed="false">
      <c r="A63" s="11" t="s">
        <v>191</v>
      </c>
      <c r="B63" s="11"/>
      <c r="C63" s="12" t="s">
        <v>66</v>
      </c>
      <c r="D63" s="11"/>
      <c r="E63" s="11"/>
      <c r="F63" s="13"/>
      <c r="G63" s="12" t="s">
        <v>42</v>
      </c>
      <c r="H63" s="12" t="s">
        <v>42</v>
      </c>
      <c r="I63" s="11" t="s">
        <v>43</v>
      </c>
      <c r="J63" s="12" t="n">
        <v>0</v>
      </c>
      <c r="K63" s="11"/>
      <c r="L63" s="11" t="s">
        <v>192</v>
      </c>
      <c r="M63" s="11"/>
      <c r="N63" s="12"/>
      <c r="O63" s="12" t="s">
        <v>42</v>
      </c>
      <c r="P63" s="12" t="n">
        <f aca="false">COUNTIF(Prüfanforderungen!$G$3:$G$181,$A63)</f>
        <v>1</v>
      </c>
      <c r="Q63" s="11" t="s">
        <v>193</v>
      </c>
    </row>
    <row r="64" customFormat="false" ht="102.2" hidden="false" customHeight="false" outlineLevel="0" collapsed="false">
      <c r="A64" s="11" t="s">
        <v>194</v>
      </c>
      <c r="B64" s="11"/>
      <c r="C64" s="12" t="s">
        <v>66</v>
      </c>
      <c r="D64" s="11"/>
      <c r="E64" s="11"/>
      <c r="F64" s="13"/>
      <c r="G64" s="12" t="s">
        <v>42</v>
      </c>
      <c r="H64" s="12" t="s">
        <v>42</v>
      </c>
      <c r="I64" s="11" t="s">
        <v>43</v>
      </c>
      <c r="J64" s="12" t="n">
        <v>0</v>
      </c>
      <c r="K64" s="11"/>
      <c r="L64" s="11" t="s">
        <v>195</v>
      </c>
      <c r="M64" s="11"/>
      <c r="N64" s="12"/>
      <c r="O64" s="12" t="s">
        <v>42</v>
      </c>
      <c r="P64" s="12" t="n">
        <f aca="false">COUNTIF(Prüfanforderungen!$G$3:$G$181,$A64)</f>
        <v>2</v>
      </c>
      <c r="Q64" s="11" t="s">
        <v>196</v>
      </c>
    </row>
    <row r="65" customFormat="false" ht="46.25" hidden="false" customHeight="false" outlineLevel="0" collapsed="false">
      <c r="A65" s="11" t="s">
        <v>197</v>
      </c>
      <c r="B65" s="11"/>
      <c r="C65" s="12" t="s">
        <v>66</v>
      </c>
      <c r="D65" s="11"/>
      <c r="E65" s="11"/>
      <c r="F65" s="13"/>
      <c r="G65" s="12" t="s">
        <v>42</v>
      </c>
      <c r="H65" s="12" t="s">
        <v>42</v>
      </c>
      <c r="I65" s="11" t="s">
        <v>43</v>
      </c>
      <c r="J65" s="12" t="n">
        <v>0</v>
      </c>
      <c r="K65" s="11"/>
      <c r="L65" s="11" t="s">
        <v>198</v>
      </c>
      <c r="M65" s="11"/>
      <c r="N65" s="12"/>
      <c r="O65" s="12" t="s">
        <v>42</v>
      </c>
      <c r="P65" s="12" t="n">
        <f aca="false">COUNTIF(Prüfanforderungen!$G$3:$G$181,$A65)</f>
        <v>5</v>
      </c>
      <c r="Q65" s="11" t="s">
        <v>199</v>
      </c>
    </row>
    <row r="66" customFormat="false" ht="46.25" hidden="false" customHeight="false" outlineLevel="0" collapsed="false">
      <c r="A66" s="11" t="s">
        <v>200</v>
      </c>
      <c r="B66" s="11"/>
      <c r="C66" s="12" t="s">
        <v>66</v>
      </c>
      <c r="D66" s="11"/>
      <c r="E66" s="11"/>
      <c r="F66" s="13"/>
      <c r="G66" s="12" t="s">
        <v>42</v>
      </c>
      <c r="H66" s="12" t="s">
        <v>42</v>
      </c>
      <c r="I66" s="11" t="s">
        <v>43</v>
      </c>
      <c r="J66" s="12" t="n">
        <v>0</v>
      </c>
      <c r="K66" s="11"/>
      <c r="L66" s="11"/>
      <c r="M66" s="11"/>
      <c r="N66" s="12"/>
      <c r="O66" s="12" t="s">
        <v>42</v>
      </c>
      <c r="P66" s="12" t="n">
        <f aca="false">COUNTIF(Prüfanforderungen!$G$3:$G$181,$A66)</f>
        <v>1</v>
      </c>
      <c r="Q66" s="11" t="s">
        <v>201</v>
      </c>
    </row>
    <row r="67" customFormat="false" ht="35.05" hidden="false" customHeight="false" outlineLevel="0" collapsed="false">
      <c r="A67" s="11" t="s">
        <v>202</v>
      </c>
      <c r="B67" s="11"/>
      <c r="C67" s="12" t="s">
        <v>66</v>
      </c>
      <c r="D67" s="11"/>
      <c r="E67" s="11"/>
      <c r="F67" s="13"/>
      <c r="G67" s="12" t="s">
        <v>42</v>
      </c>
      <c r="H67" s="12" t="s">
        <v>42</v>
      </c>
      <c r="I67" s="11" t="s">
        <v>43</v>
      </c>
      <c r="J67" s="12" t="n">
        <v>0</v>
      </c>
      <c r="K67" s="11"/>
      <c r="L67" s="11" t="s">
        <v>203</v>
      </c>
      <c r="M67" s="11"/>
      <c r="N67" s="12"/>
      <c r="O67" s="12" t="s">
        <v>42</v>
      </c>
      <c r="P67" s="12" t="n">
        <f aca="false">COUNTIF(Prüfanforderungen!$G$3:$G$181,$A67)</f>
        <v>1</v>
      </c>
      <c r="Q67" s="11" t="s">
        <v>204</v>
      </c>
    </row>
    <row r="68" customFormat="false" ht="57.45" hidden="false" customHeight="false" outlineLevel="0" collapsed="false">
      <c r="A68" s="11" t="s">
        <v>205</v>
      </c>
      <c r="B68" s="11"/>
      <c r="C68" s="12" t="s">
        <v>66</v>
      </c>
      <c r="D68" s="11"/>
      <c r="E68" s="11"/>
      <c r="F68" s="13"/>
      <c r="G68" s="12" t="s">
        <v>42</v>
      </c>
      <c r="H68" s="12" t="s">
        <v>42</v>
      </c>
      <c r="I68" s="11" t="s">
        <v>43</v>
      </c>
      <c r="J68" s="12" t="n">
        <v>0</v>
      </c>
      <c r="K68" s="11"/>
      <c r="L68" s="11"/>
      <c r="M68" s="11"/>
      <c r="N68" s="12"/>
      <c r="O68" s="12" t="s">
        <v>42</v>
      </c>
      <c r="P68" s="12" t="n">
        <f aca="false">COUNTIF(Prüfanforderungen!$G$3:$G$181,$A68)</f>
        <v>1</v>
      </c>
      <c r="Q68" s="11" t="s">
        <v>206</v>
      </c>
    </row>
    <row r="69" customFormat="false" ht="46.25" hidden="false" customHeight="false" outlineLevel="0" collapsed="false">
      <c r="A69" s="11" t="s">
        <v>207</v>
      </c>
      <c r="B69" s="11"/>
      <c r="C69" s="12" t="s">
        <v>48</v>
      </c>
      <c r="D69" s="11"/>
      <c r="E69" s="11"/>
      <c r="F69" s="13"/>
      <c r="G69" s="12" t="s">
        <v>42</v>
      </c>
      <c r="H69" s="12" t="s">
        <v>42</v>
      </c>
      <c r="I69" s="11" t="s">
        <v>43</v>
      </c>
      <c r="J69" s="12" t="n">
        <v>0</v>
      </c>
      <c r="K69" s="11"/>
      <c r="L69" s="11"/>
      <c r="M69" s="11"/>
      <c r="N69" s="12"/>
      <c r="O69" s="12" t="s">
        <v>42</v>
      </c>
      <c r="P69" s="12" t="n">
        <f aca="false">COUNTIF(Prüfanforderungen!$G$3:$G$181,$A69)</f>
        <v>1</v>
      </c>
      <c r="Q69" s="11" t="s">
        <v>208</v>
      </c>
    </row>
    <row r="70" customFormat="false" ht="102.2" hidden="false" customHeight="false" outlineLevel="0" collapsed="false">
      <c r="A70" s="11" t="s">
        <v>209</v>
      </c>
      <c r="B70" s="11"/>
      <c r="C70" s="12" t="s">
        <v>48</v>
      </c>
      <c r="D70" s="11"/>
      <c r="E70" s="11"/>
      <c r="F70" s="13"/>
      <c r="G70" s="12" t="s">
        <v>42</v>
      </c>
      <c r="H70" s="12" t="s">
        <v>42</v>
      </c>
      <c r="I70" s="11" t="s">
        <v>43</v>
      </c>
      <c r="J70" s="12" t="n">
        <v>0</v>
      </c>
      <c r="K70" s="11"/>
      <c r="L70" s="11"/>
      <c r="M70" s="11"/>
      <c r="N70" s="12"/>
      <c r="O70" s="12" t="s">
        <v>42</v>
      </c>
      <c r="P70" s="12" t="n">
        <f aca="false">COUNTIF(Prüfanforderungen!$G$3:$G$181,$A70)</f>
        <v>2</v>
      </c>
      <c r="Q70" s="11" t="s">
        <v>210</v>
      </c>
    </row>
    <row r="71" customFormat="false" ht="46.25" hidden="false" customHeight="false" outlineLevel="0" collapsed="false">
      <c r="A71" s="11" t="s">
        <v>211</v>
      </c>
      <c r="B71" s="11"/>
      <c r="C71" s="12" t="s">
        <v>48</v>
      </c>
      <c r="D71" s="11"/>
      <c r="E71" s="11" t="s">
        <v>212</v>
      </c>
      <c r="F71" s="13"/>
      <c r="G71" s="12" t="s">
        <v>42</v>
      </c>
      <c r="H71" s="12" t="s">
        <v>42</v>
      </c>
      <c r="I71" s="11"/>
      <c r="J71" s="12" t="n">
        <v>0</v>
      </c>
      <c r="K71" s="11"/>
      <c r="L71" s="11"/>
      <c r="M71" s="11"/>
      <c r="N71" s="12"/>
      <c r="O71" s="12" t="s">
        <v>42</v>
      </c>
      <c r="P71" s="12" t="n">
        <f aca="false">COUNTIF(Prüfanforderungen!$G$3:$G$181,$A71)</f>
        <v>0</v>
      </c>
      <c r="Q71" s="11" t="s">
        <v>213</v>
      </c>
    </row>
    <row r="72" customFormat="false" ht="46.25" hidden="false" customHeight="false" outlineLevel="0" collapsed="false">
      <c r="A72" s="11" t="s">
        <v>214</v>
      </c>
      <c r="B72" s="11"/>
      <c r="C72" s="12" t="s">
        <v>66</v>
      </c>
      <c r="D72" s="11"/>
      <c r="E72" s="11"/>
      <c r="F72" s="13"/>
      <c r="G72" s="12" t="s">
        <v>42</v>
      </c>
      <c r="H72" s="12" t="s">
        <v>42</v>
      </c>
      <c r="I72" s="11" t="s">
        <v>43</v>
      </c>
      <c r="J72" s="12" t="n">
        <v>0</v>
      </c>
      <c r="K72" s="11"/>
      <c r="L72" s="11"/>
      <c r="M72" s="11"/>
      <c r="N72" s="12"/>
      <c r="O72" s="12" t="s">
        <v>42</v>
      </c>
      <c r="P72" s="12" t="n">
        <f aca="false">COUNTIF(Prüfanforderungen!$G$3:$G$181,$A72)</f>
        <v>1</v>
      </c>
      <c r="Q72" s="11" t="s">
        <v>215</v>
      </c>
    </row>
    <row r="73" customFormat="false" ht="46.25" hidden="false" customHeight="false" outlineLevel="0" collapsed="false">
      <c r="A73" s="11" t="s">
        <v>216</v>
      </c>
      <c r="B73" s="11"/>
      <c r="C73" s="12" t="s">
        <v>48</v>
      </c>
      <c r="D73" s="11"/>
      <c r="E73" s="11" t="s">
        <v>212</v>
      </c>
      <c r="F73" s="13"/>
      <c r="G73" s="12" t="s">
        <v>42</v>
      </c>
      <c r="H73" s="12" t="s">
        <v>42</v>
      </c>
      <c r="I73" s="11"/>
      <c r="J73" s="12" t="n">
        <v>0</v>
      </c>
      <c r="K73" s="11"/>
      <c r="L73" s="11"/>
      <c r="M73" s="11"/>
      <c r="N73" s="12"/>
      <c r="O73" s="12" t="s">
        <v>42</v>
      </c>
      <c r="P73" s="12" t="n">
        <f aca="false">COUNTIF(Prüfanforderungen!$G$3:$G$181,$A73)</f>
        <v>0</v>
      </c>
      <c r="Q73" s="11" t="s">
        <v>217</v>
      </c>
    </row>
    <row r="74" customFormat="false" ht="46.25" hidden="false" customHeight="false" outlineLevel="0" collapsed="false">
      <c r="A74" s="11" t="s">
        <v>218</v>
      </c>
      <c r="B74" s="11"/>
      <c r="C74" s="12" t="s">
        <v>48</v>
      </c>
      <c r="D74" s="11"/>
      <c r="E74" s="11" t="s">
        <v>212</v>
      </c>
      <c r="F74" s="13"/>
      <c r="G74" s="12" t="s">
        <v>42</v>
      </c>
      <c r="H74" s="12" t="s">
        <v>42</v>
      </c>
      <c r="I74" s="11"/>
      <c r="J74" s="12" t="n">
        <v>0</v>
      </c>
      <c r="K74" s="11"/>
      <c r="L74" s="11"/>
      <c r="M74" s="11"/>
      <c r="N74" s="12"/>
      <c r="O74" s="12" t="s">
        <v>42</v>
      </c>
      <c r="P74" s="12" t="n">
        <f aca="false">COUNTIF(Prüfanforderungen!$G$3:$G$181,$A74)</f>
        <v>0</v>
      </c>
      <c r="Q74" s="11" t="s">
        <v>219</v>
      </c>
    </row>
    <row r="75" customFormat="false" ht="35.05" hidden="false" customHeight="false" outlineLevel="0" collapsed="false">
      <c r="A75" s="11" t="s">
        <v>220</v>
      </c>
      <c r="B75" s="11"/>
      <c r="C75" s="12" t="s">
        <v>66</v>
      </c>
      <c r="D75" s="11"/>
      <c r="E75" s="11"/>
      <c r="F75" s="13"/>
      <c r="G75" s="12" t="s">
        <v>42</v>
      </c>
      <c r="H75" s="12" t="s">
        <v>42</v>
      </c>
      <c r="I75" s="11" t="s">
        <v>43</v>
      </c>
      <c r="J75" s="12" t="n">
        <v>0</v>
      </c>
      <c r="K75" s="11"/>
      <c r="L75" s="11"/>
      <c r="M75" s="11"/>
      <c r="N75" s="12"/>
      <c r="O75" s="12" t="s">
        <v>42</v>
      </c>
      <c r="P75" s="12" t="n">
        <f aca="false">COUNTIF(Prüfanforderungen!$G$3:$G$181,$A75)</f>
        <v>1</v>
      </c>
      <c r="Q75" s="11" t="s">
        <v>221</v>
      </c>
    </row>
    <row r="76" customFormat="false" ht="46.25" hidden="false" customHeight="false" outlineLevel="0" collapsed="false">
      <c r="A76" s="11" t="s">
        <v>222</v>
      </c>
      <c r="B76" s="11"/>
      <c r="C76" s="12" t="s">
        <v>66</v>
      </c>
      <c r="D76" s="11"/>
      <c r="E76" s="11"/>
      <c r="F76" s="13"/>
      <c r="G76" s="12" t="s">
        <v>42</v>
      </c>
      <c r="H76" s="12" t="s">
        <v>42</v>
      </c>
      <c r="I76" s="11" t="s">
        <v>43</v>
      </c>
      <c r="J76" s="12" t="n">
        <v>0</v>
      </c>
      <c r="K76" s="11"/>
      <c r="L76" s="11"/>
      <c r="M76" s="11"/>
      <c r="N76" s="12"/>
      <c r="O76" s="12" t="s">
        <v>42</v>
      </c>
      <c r="P76" s="12" t="n">
        <f aca="false">COUNTIF(Prüfanforderungen!$G$3:$G$181,$A76)</f>
        <v>1</v>
      </c>
      <c r="Q76" s="11" t="s">
        <v>223</v>
      </c>
    </row>
    <row r="77" customFormat="false" ht="46.25" hidden="false" customHeight="false" outlineLevel="0" collapsed="false">
      <c r="A77" s="11" t="s">
        <v>224</v>
      </c>
      <c r="B77" s="11"/>
      <c r="C77" s="12" t="s">
        <v>48</v>
      </c>
      <c r="D77" s="11"/>
      <c r="E77" s="11" t="s">
        <v>212</v>
      </c>
      <c r="F77" s="13"/>
      <c r="G77" s="12" t="s">
        <v>42</v>
      </c>
      <c r="H77" s="12" t="s">
        <v>42</v>
      </c>
      <c r="I77" s="11"/>
      <c r="J77" s="12" t="n">
        <v>0</v>
      </c>
      <c r="K77" s="11"/>
      <c r="L77" s="11"/>
      <c r="M77" s="11"/>
      <c r="N77" s="12"/>
      <c r="O77" s="12" t="s">
        <v>42</v>
      </c>
      <c r="P77" s="12" t="n">
        <f aca="false">COUNTIF(Prüfanforderungen!$G$3:$G$181,$A77)</f>
        <v>0</v>
      </c>
      <c r="Q77" s="11" t="s">
        <v>225</v>
      </c>
    </row>
    <row r="78" customFormat="false" ht="113.4" hidden="false" customHeight="false" outlineLevel="0" collapsed="false">
      <c r="A78" s="11" t="s">
        <v>226</v>
      </c>
      <c r="B78" s="11"/>
      <c r="C78" s="12" t="s">
        <v>66</v>
      </c>
      <c r="D78" s="11"/>
      <c r="E78" s="11"/>
      <c r="F78" s="13"/>
      <c r="G78" s="12" t="s">
        <v>42</v>
      </c>
      <c r="H78" s="12" t="s">
        <v>42</v>
      </c>
      <c r="I78" s="11" t="s">
        <v>43</v>
      </c>
      <c r="J78" s="12" t="n">
        <v>0</v>
      </c>
      <c r="K78" s="11"/>
      <c r="L78" s="11" t="s">
        <v>227</v>
      </c>
      <c r="M78" s="11"/>
      <c r="N78" s="12"/>
      <c r="O78" s="12" t="s">
        <v>42</v>
      </c>
      <c r="P78" s="12" t="n">
        <f aca="false">COUNTIF(Prüfanforderungen!$G$3:$G$181,$A78)</f>
        <v>1</v>
      </c>
      <c r="Q78" s="11" t="s">
        <v>228</v>
      </c>
    </row>
    <row r="79" customFormat="false" ht="91" hidden="false" customHeight="false" outlineLevel="0" collapsed="false">
      <c r="A79" s="11" t="s">
        <v>229</v>
      </c>
      <c r="B79" s="11"/>
      <c r="C79" s="12" t="s">
        <v>66</v>
      </c>
      <c r="D79" s="11"/>
      <c r="E79" s="11"/>
      <c r="F79" s="13"/>
      <c r="G79" s="12" t="s">
        <v>42</v>
      </c>
      <c r="H79" s="12" t="s">
        <v>42</v>
      </c>
      <c r="I79" s="11" t="s">
        <v>43</v>
      </c>
      <c r="J79" s="12" t="n">
        <v>0</v>
      </c>
      <c r="K79" s="11"/>
      <c r="L79" s="11" t="s">
        <v>227</v>
      </c>
      <c r="M79" s="11"/>
      <c r="N79" s="12"/>
      <c r="O79" s="12" t="s">
        <v>42</v>
      </c>
      <c r="P79" s="12" t="n">
        <f aca="false">COUNTIF(Prüfanforderungen!$G$3:$G$181,$A79)</f>
        <v>1</v>
      </c>
      <c r="Q79" s="11" t="s">
        <v>230</v>
      </c>
    </row>
    <row r="80" customFormat="false" ht="46.25" hidden="false" customHeight="false" outlineLevel="0" collapsed="false">
      <c r="A80" s="11" t="s">
        <v>231</v>
      </c>
      <c r="B80" s="11"/>
      <c r="C80" s="12" t="s">
        <v>48</v>
      </c>
      <c r="D80" s="11"/>
      <c r="E80" s="11"/>
      <c r="F80" s="13"/>
      <c r="G80" s="12" t="s">
        <v>42</v>
      </c>
      <c r="H80" s="12" t="s">
        <v>42</v>
      </c>
      <c r="I80" s="11" t="s">
        <v>43</v>
      </c>
      <c r="J80" s="12" t="n">
        <v>0</v>
      </c>
      <c r="K80" s="11"/>
      <c r="L80" s="11" t="s">
        <v>227</v>
      </c>
      <c r="M80" s="11"/>
      <c r="N80" s="12"/>
      <c r="O80" s="12" t="s">
        <v>42</v>
      </c>
      <c r="P80" s="12" t="n">
        <f aca="false">COUNTIF(Prüfanforderungen!$G$3:$G$181,$A80)</f>
        <v>1</v>
      </c>
      <c r="Q80" s="11" t="s">
        <v>232</v>
      </c>
    </row>
    <row r="81" customFormat="false" ht="102.2" hidden="false" customHeight="false" outlineLevel="0" collapsed="false">
      <c r="A81" s="11" t="s">
        <v>233</v>
      </c>
      <c r="B81" s="11"/>
      <c r="C81" s="12" t="s">
        <v>66</v>
      </c>
      <c r="D81" s="11"/>
      <c r="E81" s="11"/>
      <c r="F81" s="13"/>
      <c r="G81" s="12" t="s">
        <v>42</v>
      </c>
      <c r="H81" s="12" t="s">
        <v>42</v>
      </c>
      <c r="I81" s="11" t="s">
        <v>43</v>
      </c>
      <c r="J81" s="12" t="n">
        <v>0</v>
      </c>
      <c r="K81" s="11"/>
      <c r="L81" s="11" t="s">
        <v>227</v>
      </c>
      <c r="M81" s="11"/>
      <c r="N81" s="12"/>
      <c r="O81" s="12" t="s">
        <v>42</v>
      </c>
      <c r="P81" s="12" t="n">
        <f aca="false">COUNTIF(Prüfanforderungen!$G$3:$G$181,$A81)</f>
        <v>1</v>
      </c>
      <c r="Q81" s="11" t="s">
        <v>234</v>
      </c>
    </row>
    <row r="82" customFormat="false" ht="46.25" hidden="false" customHeight="false" outlineLevel="0" collapsed="false">
      <c r="A82" s="11" t="s">
        <v>235</v>
      </c>
      <c r="B82" s="11"/>
      <c r="C82" s="12" t="s">
        <v>66</v>
      </c>
      <c r="D82" s="11"/>
      <c r="E82" s="11"/>
      <c r="F82" s="13"/>
      <c r="G82" s="12" t="s">
        <v>42</v>
      </c>
      <c r="H82" s="12" t="s">
        <v>42</v>
      </c>
      <c r="I82" s="11" t="s">
        <v>43</v>
      </c>
      <c r="J82" s="12" t="n">
        <v>0</v>
      </c>
      <c r="K82" s="11"/>
      <c r="L82" s="11" t="s">
        <v>227</v>
      </c>
      <c r="M82" s="11"/>
      <c r="N82" s="12"/>
      <c r="O82" s="12" t="s">
        <v>42</v>
      </c>
      <c r="P82" s="12" t="n">
        <f aca="false">COUNTIF(Prüfanforderungen!$G$3:$G$181,$A82)</f>
        <v>1</v>
      </c>
      <c r="Q82" s="11" t="s">
        <v>236</v>
      </c>
    </row>
    <row r="83" customFormat="false" ht="102.2" hidden="false" customHeight="false" outlineLevel="0" collapsed="false">
      <c r="A83" s="11" t="s">
        <v>237</v>
      </c>
      <c r="B83" s="11"/>
      <c r="C83" s="12" t="s">
        <v>66</v>
      </c>
      <c r="D83" s="11"/>
      <c r="E83" s="11"/>
      <c r="F83" s="13"/>
      <c r="G83" s="12" t="s">
        <v>42</v>
      </c>
      <c r="H83" s="12" t="s">
        <v>42</v>
      </c>
      <c r="I83" s="11" t="s">
        <v>43</v>
      </c>
      <c r="J83" s="12" t="n">
        <v>0</v>
      </c>
      <c r="K83" s="11"/>
      <c r="L83" s="11" t="s">
        <v>227</v>
      </c>
      <c r="M83" s="11"/>
      <c r="N83" s="12"/>
      <c r="O83" s="12" t="s">
        <v>42</v>
      </c>
      <c r="P83" s="12" t="n">
        <f aca="false">COUNTIF(Prüfanforderungen!$G$3:$G$181,$A83)</f>
        <v>2</v>
      </c>
      <c r="Q83" s="11" t="s">
        <v>238</v>
      </c>
    </row>
    <row r="84" customFormat="false" ht="102.2" hidden="false" customHeight="false" outlineLevel="0" collapsed="false">
      <c r="A84" s="11" t="s">
        <v>239</v>
      </c>
      <c r="B84" s="11"/>
      <c r="C84" s="12" t="s">
        <v>66</v>
      </c>
      <c r="D84" s="11"/>
      <c r="E84" s="11"/>
      <c r="F84" s="13"/>
      <c r="G84" s="12" t="s">
        <v>42</v>
      </c>
      <c r="H84" s="12" t="s">
        <v>42</v>
      </c>
      <c r="I84" s="11" t="s">
        <v>43</v>
      </c>
      <c r="J84" s="12" t="n">
        <v>0</v>
      </c>
      <c r="K84" s="11"/>
      <c r="L84" s="11" t="s">
        <v>227</v>
      </c>
      <c r="M84" s="11"/>
      <c r="N84" s="12"/>
      <c r="O84" s="12" t="s">
        <v>42</v>
      </c>
      <c r="P84" s="12" t="n">
        <f aca="false">COUNTIF(Prüfanforderungen!$G$3:$G$181,$A84)</f>
        <v>1</v>
      </c>
      <c r="Q84" s="11" t="s">
        <v>240</v>
      </c>
    </row>
    <row r="85" customFormat="false" ht="91" hidden="false" customHeight="false" outlineLevel="0" collapsed="false">
      <c r="A85" s="11" t="s">
        <v>241</v>
      </c>
      <c r="B85" s="11"/>
      <c r="C85" s="12" t="s">
        <v>48</v>
      </c>
      <c r="D85" s="11"/>
      <c r="E85" s="11"/>
      <c r="F85" s="13"/>
      <c r="G85" s="12" t="s">
        <v>42</v>
      </c>
      <c r="H85" s="12" t="s">
        <v>42</v>
      </c>
      <c r="I85" s="11" t="s">
        <v>43</v>
      </c>
      <c r="J85" s="12" t="n">
        <v>0</v>
      </c>
      <c r="K85" s="11"/>
      <c r="L85" s="11" t="s">
        <v>227</v>
      </c>
      <c r="M85" s="11"/>
      <c r="N85" s="12"/>
      <c r="O85" s="12" t="s">
        <v>42</v>
      </c>
      <c r="P85" s="12" t="n">
        <f aca="false">COUNTIF(Prüfanforderungen!$G$3:$G$181,$A85)</f>
        <v>1</v>
      </c>
      <c r="Q85" s="11" t="s">
        <v>242</v>
      </c>
    </row>
    <row r="86" customFormat="false" ht="225.35" hidden="false" customHeight="false" outlineLevel="0" collapsed="false">
      <c r="A86" s="11" t="s">
        <v>243</v>
      </c>
      <c r="B86" s="11"/>
      <c r="C86" s="12" t="s">
        <v>48</v>
      </c>
      <c r="D86" s="11"/>
      <c r="E86" s="11"/>
      <c r="F86" s="13"/>
      <c r="G86" s="12" t="s">
        <v>42</v>
      </c>
      <c r="H86" s="12" t="s">
        <v>42</v>
      </c>
      <c r="I86" s="11" t="s">
        <v>43</v>
      </c>
      <c r="J86" s="12" t="n">
        <v>0</v>
      </c>
      <c r="K86" s="11"/>
      <c r="L86" s="11" t="s">
        <v>244</v>
      </c>
      <c r="M86" s="11"/>
      <c r="N86" s="12"/>
      <c r="O86" s="12" t="s">
        <v>42</v>
      </c>
      <c r="P86" s="12" t="n">
        <f aca="false">COUNTIF(Prüfanforderungen!$G$3:$G$181,$A86)</f>
        <v>1</v>
      </c>
      <c r="Q86" s="11" t="s">
        <v>245</v>
      </c>
    </row>
    <row r="87" customFormat="false" ht="191.75" hidden="false" customHeight="false" outlineLevel="0" collapsed="false">
      <c r="A87" s="11" t="s">
        <v>246</v>
      </c>
      <c r="B87" s="11"/>
      <c r="C87" s="12" t="s">
        <v>48</v>
      </c>
      <c r="D87" s="11"/>
      <c r="E87" s="11"/>
      <c r="F87" s="13"/>
      <c r="G87" s="12" t="s">
        <v>42</v>
      </c>
      <c r="H87" s="12" t="s">
        <v>42</v>
      </c>
      <c r="I87" s="11" t="s">
        <v>43</v>
      </c>
      <c r="J87" s="12" t="n">
        <v>0</v>
      </c>
      <c r="K87" s="11"/>
      <c r="L87" s="11" t="s">
        <v>227</v>
      </c>
      <c r="M87" s="11"/>
      <c r="N87" s="12"/>
      <c r="O87" s="12" t="s">
        <v>42</v>
      </c>
      <c r="P87" s="12" t="n">
        <f aca="false">COUNTIF(Prüfanforderungen!$G$3:$G$181,$A87)</f>
        <v>1</v>
      </c>
      <c r="Q87" s="11" t="s">
        <v>247</v>
      </c>
    </row>
    <row r="88" customFormat="false" ht="113.4" hidden="false" customHeight="false" outlineLevel="0" collapsed="false">
      <c r="A88" s="11" t="s">
        <v>248</v>
      </c>
      <c r="B88" s="11"/>
      <c r="C88" s="12" t="s">
        <v>66</v>
      </c>
      <c r="D88" s="11"/>
      <c r="E88" s="11"/>
      <c r="F88" s="13"/>
      <c r="G88" s="12" t="s">
        <v>42</v>
      </c>
      <c r="H88" s="12" t="s">
        <v>42</v>
      </c>
      <c r="I88" s="11" t="s">
        <v>43</v>
      </c>
      <c r="J88" s="12" t="n">
        <v>0</v>
      </c>
      <c r="K88" s="11"/>
      <c r="L88" s="11" t="s">
        <v>227</v>
      </c>
      <c r="M88" s="11"/>
      <c r="N88" s="12"/>
      <c r="O88" s="12" t="s">
        <v>42</v>
      </c>
      <c r="P88" s="12" t="n">
        <f aca="false">COUNTIF(Prüfanforderungen!$G$3:$G$181,$A88)</f>
        <v>1</v>
      </c>
      <c r="Q88" s="11" t="s">
        <v>249</v>
      </c>
    </row>
    <row r="89" customFormat="false" ht="79.85" hidden="false" customHeight="false" outlineLevel="0" collapsed="false">
      <c r="A89" s="11" t="s">
        <v>250</v>
      </c>
      <c r="B89" s="11"/>
      <c r="C89" s="12" t="s">
        <v>66</v>
      </c>
      <c r="D89" s="11"/>
      <c r="E89" s="11"/>
      <c r="F89" s="13"/>
      <c r="G89" s="12" t="s">
        <v>42</v>
      </c>
      <c r="H89" s="12" t="s">
        <v>42</v>
      </c>
      <c r="I89" s="11" t="s">
        <v>43</v>
      </c>
      <c r="J89" s="12" t="n">
        <v>0</v>
      </c>
      <c r="K89" s="11"/>
      <c r="L89" s="11" t="s">
        <v>227</v>
      </c>
      <c r="M89" s="11"/>
      <c r="N89" s="12"/>
      <c r="O89" s="12" t="s">
        <v>42</v>
      </c>
      <c r="P89" s="12" t="n">
        <f aca="false">COUNTIF(Prüfanforderungen!$G$3:$G$181,$A89)</f>
        <v>1</v>
      </c>
      <c r="Q89" s="11" t="s">
        <v>251</v>
      </c>
    </row>
    <row r="90" customFormat="false" ht="46.25" hidden="false" customHeight="false" outlineLevel="0" collapsed="false">
      <c r="A90" s="11" t="s">
        <v>252</v>
      </c>
      <c r="B90" s="11"/>
      <c r="C90" s="12" t="s">
        <v>66</v>
      </c>
      <c r="D90" s="11"/>
      <c r="E90" s="11"/>
      <c r="F90" s="13"/>
      <c r="G90" s="12" t="s">
        <v>42</v>
      </c>
      <c r="H90" s="12" t="s">
        <v>42</v>
      </c>
      <c r="I90" s="11" t="s">
        <v>43</v>
      </c>
      <c r="J90" s="12" t="n">
        <v>0</v>
      </c>
      <c r="K90" s="11"/>
      <c r="L90" s="11" t="s">
        <v>227</v>
      </c>
      <c r="M90" s="11"/>
      <c r="N90" s="12"/>
      <c r="O90" s="12" t="s">
        <v>42</v>
      </c>
      <c r="P90" s="12" t="n">
        <f aca="false">COUNTIF(Prüfanforderungen!$G$3:$G$181,$A90)</f>
        <v>1</v>
      </c>
      <c r="Q90" s="11" t="s">
        <v>253</v>
      </c>
    </row>
    <row r="91" customFormat="false" ht="135.8" hidden="false" customHeight="false" outlineLevel="0" collapsed="false">
      <c r="A91" s="11" t="s">
        <v>254</v>
      </c>
      <c r="B91" s="11"/>
      <c r="C91" s="12" t="s">
        <v>48</v>
      </c>
      <c r="D91" s="11"/>
      <c r="E91" s="11"/>
      <c r="F91" s="13"/>
      <c r="G91" s="12" t="s">
        <v>42</v>
      </c>
      <c r="H91" s="12" t="s">
        <v>42</v>
      </c>
      <c r="I91" s="11" t="s">
        <v>43</v>
      </c>
      <c r="J91" s="12" t="n">
        <v>0</v>
      </c>
      <c r="K91" s="11"/>
      <c r="L91" s="11" t="s">
        <v>227</v>
      </c>
      <c r="M91" s="11"/>
      <c r="N91" s="12"/>
      <c r="O91" s="12" t="s">
        <v>42</v>
      </c>
      <c r="P91" s="12" t="n">
        <f aca="false">COUNTIF(Prüfanforderungen!$G$3:$G$181,$A91)</f>
        <v>1</v>
      </c>
      <c r="Q91" s="11" t="s">
        <v>255</v>
      </c>
    </row>
    <row r="92" customFormat="false" ht="46.25" hidden="false" customHeight="false" outlineLevel="0" collapsed="false">
      <c r="A92" s="11" t="s">
        <v>256</v>
      </c>
      <c r="B92" s="11"/>
      <c r="C92" s="12" t="s">
        <v>66</v>
      </c>
      <c r="D92" s="11"/>
      <c r="E92" s="11"/>
      <c r="F92" s="13"/>
      <c r="G92" s="12" t="s">
        <v>42</v>
      </c>
      <c r="H92" s="12" t="s">
        <v>42</v>
      </c>
      <c r="I92" s="11" t="s">
        <v>43</v>
      </c>
      <c r="J92" s="12" t="n">
        <v>0</v>
      </c>
      <c r="K92" s="11"/>
      <c r="L92" s="11" t="s">
        <v>227</v>
      </c>
      <c r="M92" s="11"/>
      <c r="N92" s="12"/>
      <c r="O92" s="12" t="s">
        <v>42</v>
      </c>
      <c r="P92" s="12" t="n">
        <f aca="false">COUNTIF(Prüfanforderungen!$G$3:$G$181,$A92)</f>
        <v>1</v>
      </c>
      <c r="Q92" s="11" t="s">
        <v>257</v>
      </c>
    </row>
    <row r="93" customFormat="false" ht="46.25" hidden="false" customHeight="false" outlineLevel="0" collapsed="false">
      <c r="A93" s="11" t="s">
        <v>258</v>
      </c>
      <c r="B93" s="11"/>
      <c r="C93" s="12" t="s">
        <v>66</v>
      </c>
      <c r="D93" s="11"/>
      <c r="E93" s="11"/>
      <c r="F93" s="13"/>
      <c r="G93" s="12" t="s">
        <v>42</v>
      </c>
      <c r="H93" s="12" t="s">
        <v>42</v>
      </c>
      <c r="I93" s="11" t="s">
        <v>43</v>
      </c>
      <c r="J93" s="12" t="n">
        <v>0</v>
      </c>
      <c r="K93" s="11"/>
      <c r="L93" s="11" t="s">
        <v>227</v>
      </c>
      <c r="M93" s="11"/>
      <c r="N93" s="12"/>
      <c r="O93" s="12" t="s">
        <v>42</v>
      </c>
      <c r="P93" s="12" t="n">
        <f aca="false">COUNTIF(Prüfanforderungen!$G$3:$G$181,$A93)</f>
        <v>1</v>
      </c>
      <c r="Q93" s="11" t="s">
        <v>259</v>
      </c>
    </row>
    <row r="94" customFormat="false" ht="46.25" hidden="false" customHeight="false" outlineLevel="0" collapsed="false">
      <c r="A94" s="11" t="s">
        <v>260</v>
      </c>
      <c r="B94" s="11"/>
      <c r="C94" s="12" t="s">
        <v>261</v>
      </c>
      <c r="D94" s="11"/>
      <c r="E94" s="11"/>
      <c r="F94" s="13"/>
      <c r="G94" s="12" t="s">
        <v>42</v>
      </c>
      <c r="H94" s="12" t="s">
        <v>42</v>
      </c>
      <c r="I94" s="11" t="s">
        <v>43</v>
      </c>
      <c r="J94" s="12" t="n">
        <v>0</v>
      </c>
      <c r="K94" s="11"/>
      <c r="L94" s="11"/>
      <c r="M94" s="11"/>
      <c r="N94" s="12"/>
      <c r="O94" s="12" t="s">
        <v>42</v>
      </c>
      <c r="P94" s="12" t="n">
        <f aca="false">COUNTIF(Prüfanforderungen!$G$3:$G$181,$A94)</f>
        <v>1</v>
      </c>
      <c r="Q94" s="11" t="s">
        <v>262</v>
      </c>
    </row>
    <row r="95" customFormat="false" ht="46.25" hidden="false" customHeight="false" outlineLevel="0" collapsed="false">
      <c r="A95" s="11" t="s">
        <v>260</v>
      </c>
      <c r="B95" s="11"/>
      <c r="C95" s="12" t="s">
        <v>261</v>
      </c>
      <c r="D95" s="11"/>
      <c r="E95" s="11"/>
      <c r="F95" s="13"/>
      <c r="G95" s="12" t="s">
        <v>42</v>
      </c>
      <c r="H95" s="12" t="s">
        <v>42</v>
      </c>
      <c r="I95" s="11" t="s">
        <v>43</v>
      </c>
      <c r="J95" s="12" t="n">
        <v>0</v>
      </c>
      <c r="K95" s="11"/>
      <c r="L95" s="11"/>
      <c r="M95" s="11"/>
      <c r="N95" s="12"/>
      <c r="O95" s="12" t="s">
        <v>42</v>
      </c>
      <c r="P95" s="12" t="n">
        <f aca="false">COUNTIF(Prüfanforderungen!$G$3:$G$181,$A95)</f>
        <v>1</v>
      </c>
      <c r="Q95" s="11" t="s">
        <v>263</v>
      </c>
    </row>
    <row r="96" customFormat="false" ht="57.45" hidden="false" customHeight="false" outlineLevel="0" collapsed="false">
      <c r="A96" s="11" t="s">
        <v>264</v>
      </c>
      <c r="B96" s="11"/>
      <c r="C96" s="12" t="s">
        <v>261</v>
      </c>
      <c r="D96" s="11"/>
      <c r="E96" s="11"/>
      <c r="F96" s="13"/>
      <c r="G96" s="12" t="s">
        <v>42</v>
      </c>
      <c r="H96" s="12" t="s">
        <v>42</v>
      </c>
      <c r="I96" s="11" t="s">
        <v>43</v>
      </c>
      <c r="J96" s="12" t="n">
        <v>0</v>
      </c>
      <c r="K96" s="11"/>
      <c r="L96" s="11" t="s">
        <v>265</v>
      </c>
      <c r="M96" s="11"/>
      <c r="N96" s="12"/>
      <c r="O96" s="12" t="s">
        <v>42</v>
      </c>
      <c r="P96" s="12" t="n">
        <f aca="false">COUNTIF(Prüfanforderungen!$G$3:$G$181,$A96)</f>
        <v>0</v>
      </c>
      <c r="Q96" s="11" t="s">
        <v>266</v>
      </c>
    </row>
    <row r="97" customFormat="false" ht="113.4" hidden="false" customHeight="false" outlineLevel="0" collapsed="false">
      <c r="A97" s="11" t="s">
        <v>267</v>
      </c>
      <c r="B97" s="11"/>
      <c r="C97" s="12" t="s">
        <v>261</v>
      </c>
      <c r="D97" s="11"/>
      <c r="E97" s="11"/>
      <c r="F97" s="13"/>
      <c r="G97" s="12" t="s">
        <v>42</v>
      </c>
      <c r="H97" s="12" t="s">
        <v>42</v>
      </c>
      <c r="I97" s="11"/>
      <c r="J97" s="12" t="n">
        <v>0</v>
      </c>
      <c r="K97" s="11"/>
      <c r="L97" s="11"/>
      <c r="M97" s="11"/>
      <c r="N97" s="12"/>
      <c r="O97" s="12" t="s">
        <v>42</v>
      </c>
      <c r="P97" s="12" t="n">
        <f aca="false">COUNTIF(Prüfanforderungen!$G$3:$G$181,$A97)</f>
        <v>1</v>
      </c>
      <c r="Q97" s="11" t="s">
        <v>268</v>
      </c>
    </row>
    <row r="98" customFormat="false" ht="46.25" hidden="false" customHeight="false" outlineLevel="0" collapsed="false">
      <c r="A98" s="11" t="s">
        <v>269</v>
      </c>
      <c r="B98" s="11"/>
      <c r="C98" s="12" t="s">
        <v>261</v>
      </c>
      <c r="D98" s="11"/>
      <c r="E98" s="11"/>
      <c r="F98" s="13"/>
      <c r="G98" s="12" t="s">
        <v>42</v>
      </c>
      <c r="H98" s="12" t="s">
        <v>42</v>
      </c>
      <c r="I98" s="11" t="s">
        <v>43</v>
      </c>
      <c r="J98" s="12" t="n">
        <v>0</v>
      </c>
      <c r="K98" s="11"/>
      <c r="L98" s="11" t="s">
        <v>270</v>
      </c>
      <c r="M98" s="11"/>
      <c r="N98" s="12"/>
      <c r="O98" s="12" t="s">
        <v>42</v>
      </c>
      <c r="P98" s="12" t="n">
        <f aca="false">COUNTIF(Prüfanforderungen!$G$3:$G$181,$A98)</f>
        <v>0</v>
      </c>
      <c r="Q98" s="11" t="s">
        <v>271</v>
      </c>
    </row>
    <row r="99" customFormat="false" ht="91" hidden="false" customHeight="false" outlineLevel="0" collapsed="false">
      <c r="A99" s="11" t="s">
        <v>272</v>
      </c>
      <c r="B99" s="11"/>
      <c r="C99" s="12" t="s">
        <v>261</v>
      </c>
      <c r="D99" s="11"/>
      <c r="E99" s="11"/>
      <c r="F99" s="13"/>
      <c r="G99" s="12" t="s">
        <v>42</v>
      </c>
      <c r="H99" s="12" t="s">
        <v>42</v>
      </c>
      <c r="I99" s="11"/>
      <c r="J99" s="12" t="n">
        <v>0</v>
      </c>
      <c r="K99" s="11"/>
      <c r="L99" s="11"/>
      <c r="M99" s="11"/>
      <c r="N99" s="12"/>
      <c r="O99" s="12" t="s">
        <v>42</v>
      </c>
      <c r="P99" s="12" t="n">
        <f aca="false">COUNTIF(Prüfanforderungen!$G$3:$G$181,$A99)</f>
        <v>1</v>
      </c>
      <c r="Q99" s="11" t="s">
        <v>273</v>
      </c>
    </row>
    <row r="100" customFormat="false" ht="46.25" hidden="false" customHeight="false" outlineLevel="0" collapsed="false">
      <c r="A100" s="11" t="s">
        <v>274</v>
      </c>
      <c r="B100" s="11"/>
      <c r="C100" s="12" t="s">
        <v>66</v>
      </c>
      <c r="D100" s="11"/>
      <c r="E100" s="11"/>
      <c r="F100" s="13"/>
      <c r="G100" s="12" t="s">
        <v>42</v>
      </c>
      <c r="H100" s="12" t="s">
        <v>42</v>
      </c>
      <c r="I100" s="11" t="s">
        <v>43</v>
      </c>
      <c r="J100" s="12" t="n">
        <v>0</v>
      </c>
      <c r="K100" s="11"/>
      <c r="L100" s="11"/>
      <c r="M100" s="11"/>
      <c r="N100" s="12"/>
      <c r="O100" s="12" t="s">
        <v>42</v>
      </c>
      <c r="P100" s="12" t="n">
        <f aca="false">COUNTIF(Prüfanforderungen!$G$3:$G$181,$A100)</f>
        <v>1</v>
      </c>
      <c r="Q100" s="11" t="s">
        <v>275</v>
      </c>
    </row>
    <row r="101" customFormat="false" ht="46.25" hidden="false" customHeight="false" outlineLevel="0" collapsed="false">
      <c r="A101" s="11" t="s">
        <v>276</v>
      </c>
      <c r="B101" s="11"/>
      <c r="C101" s="12" t="s">
        <v>66</v>
      </c>
      <c r="D101" s="11"/>
      <c r="E101" s="11"/>
      <c r="F101" s="13"/>
      <c r="G101" s="12" t="s">
        <v>42</v>
      </c>
      <c r="H101" s="12" t="s">
        <v>42</v>
      </c>
      <c r="I101" s="11" t="s">
        <v>43</v>
      </c>
      <c r="J101" s="12" t="n">
        <v>0</v>
      </c>
      <c r="K101" s="11"/>
      <c r="L101" s="11" t="s">
        <v>227</v>
      </c>
      <c r="M101" s="11"/>
      <c r="N101" s="12"/>
      <c r="O101" s="12" t="s">
        <v>42</v>
      </c>
      <c r="P101" s="12" t="n">
        <f aca="false">COUNTIF(Prüfanforderungen!$G$3:$G$181,$A101)</f>
        <v>1</v>
      </c>
      <c r="Q101" s="11" t="s">
        <v>277</v>
      </c>
    </row>
    <row r="102" customFormat="false" ht="46.25" hidden="false" customHeight="false" outlineLevel="0" collapsed="false">
      <c r="A102" s="11" t="s">
        <v>278</v>
      </c>
      <c r="B102" s="11"/>
      <c r="C102" s="12" t="s">
        <v>66</v>
      </c>
      <c r="D102" s="11"/>
      <c r="E102" s="11"/>
      <c r="F102" s="13"/>
      <c r="G102" s="12" t="s">
        <v>42</v>
      </c>
      <c r="H102" s="12" t="s">
        <v>42</v>
      </c>
      <c r="I102" s="11" t="s">
        <v>43</v>
      </c>
      <c r="J102" s="12" t="n">
        <v>0</v>
      </c>
      <c r="K102" s="11"/>
      <c r="L102" s="11"/>
      <c r="M102" s="11"/>
      <c r="N102" s="12"/>
      <c r="O102" s="12" t="s">
        <v>42</v>
      </c>
      <c r="P102" s="12" t="n">
        <f aca="false">COUNTIF(Prüfanforderungen!$G$3:$G$181,$A102)</f>
        <v>1</v>
      </c>
      <c r="Q102" s="11" t="s">
        <v>279</v>
      </c>
    </row>
    <row r="103" customFormat="false" ht="35.05" hidden="false" customHeight="false" outlineLevel="0" collapsed="false">
      <c r="A103" s="11" t="s">
        <v>280</v>
      </c>
      <c r="B103" s="11"/>
      <c r="C103" s="12" t="s">
        <v>66</v>
      </c>
      <c r="D103" s="11"/>
      <c r="E103" s="11"/>
      <c r="F103" s="13"/>
      <c r="G103" s="12" t="s">
        <v>42</v>
      </c>
      <c r="H103" s="12" t="s">
        <v>42</v>
      </c>
      <c r="I103" s="11" t="s">
        <v>43</v>
      </c>
      <c r="J103" s="12" t="n">
        <v>0</v>
      </c>
      <c r="K103" s="11"/>
      <c r="L103" s="11"/>
      <c r="M103" s="11"/>
      <c r="N103" s="12"/>
      <c r="O103" s="12" t="s">
        <v>42</v>
      </c>
      <c r="P103" s="12" t="n">
        <f aca="false">COUNTIF(Prüfanforderungen!$G$3:$G$181,$A103)</f>
        <v>2</v>
      </c>
      <c r="Q103" s="11" t="s">
        <v>281</v>
      </c>
    </row>
    <row r="104" customFormat="false" ht="46.25" hidden="false" customHeight="false" outlineLevel="0" collapsed="false">
      <c r="A104" s="11" t="s">
        <v>282</v>
      </c>
      <c r="B104" s="11"/>
      <c r="C104" s="12" t="s">
        <v>66</v>
      </c>
      <c r="D104" s="11"/>
      <c r="E104" s="11"/>
      <c r="F104" s="13"/>
      <c r="G104" s="12" t="s">
        <v>42</v>
      </c>
      <c r="H104" s="12" t="s">
        <v>42</v>
      </c>
      <c r="I104" s="11" t="s">
        <v>43</v>
      </c>
      <c r="J104" s="12" t="n">
        <v>0</v>
      </c>
      <c r="K104" s="11"/>
      <c r="L104" s="11"/>
      <c r="M104" s="11"/>
      <c r="N104" s="12"/>
      <c r="O104" s="12" t="s">
        <v>42</v>
      </c>
      <c r="P104" s="12" t="n">
        <f aca="false">COUNTIF(Prüfanforderungen!$G$3:$G$181,$A104)</f>
        <v>2</v>
      </c>
      <c r="Q104" s="11" t="s">
        <v>283</v>
      </c>
    </row>
    <row r="105" customFormat="false" ht="46.25" hidden="false" customHeight="false" outlineLevel="0" collapsed="false">
      <c r="A105" s="11" t="s">
        <v>284</v>
      </c>
      <c r="B105" s="11"/>
      <c r="C105" s="12" t="s">
        <v>66</v>
      </c>
      <c r="D105" s="11"/>
      <c r="E105" s="11"/>
      <c r="F105" s="13"/>
      <c r="G105" s="12" t="s">
        <v>42</v>
      </c>
      <c r="H105" s="12" t="s">
        <v>42</v>
      </c>
      <c r="I105" s="11" t="s">
        <v>43</v>
      </c>
      <c r="J105" s="12" t="n">
        <v>0</v>
      </c>
      <c r="K105" s="11"/>
      <c r="L105" s="11"/>
      <c r="M105" s="11"/>
      <c r="N105" s="12"/>
      <c r="O105" s="12" t="s">
        <v>42</v>
      </c>
      <c r="P105" s="12" t="n">
        <f aca="false">COUNTIF(Prüfanforderungen!$G$3:$G$181,$A105)</f>
        <v>1</v>
      </c>
      <c r="Q105" s="11" t="s">
        <v>285</v>
      </c>
    </row>
    <row r="106" customFormat="false" ht="68.65" hidden="false" customHeight="false" outlineLevel="0" collapsed="false">
      <c r="A106" s="11" t="s">
        <v>286</v>
      </c>
      <c r="B106" s="11"/>
      <c r="C106" s="12" t="s">
        <v>66</v>
      </c>
      <c r="D106" s="11"/>
      <c r="E106" s="11"/>
      <c r="F106" s="13"/>
      <c r="G106" s="12" t="s">
        <v>42</v>
      </c>
      <c r="H106" s="12" t="s">
        <v>42</v>
      </c>
      <c r="I106" s="11" t="s">
        <v>43</v>
      </c>
      <c r="J106" s="12" t="n">
        <v>0</v>
      </c>
      <c r="K106" s="11"/>
      <c r="L106" s="11" t="s">
        <v>287</v>
      </c>
      <c r="M106" s="11"/>
      <c r="N106" s="12"/>
      <c r="O106" s="12" t="s">
        <v>42</v>
      </c>
      <c r="P106" s="12" t="n">
        <f aca="false">COUNTIF(Prüfanforderungen!$G$3:$G$181,$A106)</f>
        <v>1</v>
      </c>
      <c r="Q106" s="11" t="s">
        <v>288</v>
      </c>
    </row>
    <row r="107" customFormat="false" ht="46.25" hidden="false" customHeight="false" outlineLevel="0" collapsed="false">
      <c r="A107" s="11" t="s">
        <v>289</v>
      </c>
      <c r="B107" s="11"/>
      <c r="C107" s="12" t="s">
        <v>66</v>
      </c>
      <c r="D107" s="11"/>
      <c r="E107" s="11"/>
      <c r="F107" s="13"/>
      <c r="G107" s="12" t="s">
        <v>42</v>
      </c>
      <c r="H107" s="12" t="s">
        <v>42</v>
      </c>
      <c r="I107" s="11" t="s">
        <v>43</v>
      </c>
      <c r="J107" s="12" t="n">
        <v>0</v>
      </c>
      <c r="K107" s="11"/>
      <c r="L107" s="11"/>
      <c r="M107" s="11"/>
      <c r="N107" s="12"/>
      <c r="O107" s="12" t="s">
        <v>42</v>
      </c>
      <c r="P107" s="12" t="n">
        <f aca="false">COUNTIF(Prüfanforderungen!$G$3:$G$181,$A107)</f>
        <v>1</v>
      </c>
      <c r="Q107" s="11" t="s">
        <v>290</v>
      </c>
    </row>
    <row r="108" customFormat="false" ht="46.25" hidden="false" customHeight="false" outlineLevel="0" collapsed="false">
      <c r="A108" s="11" t="s">
        <v>291</v>
      </c>
      <c r="B108" s="11"/>
      <c r="C108" s="12" t="s">
        <v>66</v>
      </c>
      <c r="D108" s="11"/>
      <c r="E108" s="11"/>
      <c r="F108" s="13"/>
      <c r="G108" s="12" t="s">
        <v>42</v>
      </c>
      <c r="H108" s="12" t="s">
        <v>42</v>
      </c>
      <c r="I108" s="11" t="s">
        <v>43</v>
      </c>
      <c r="J108" s="12" t="n">
        <v>0</v>
      </c>
      <c r="K108" s="11"/>
      <c r="L108" s="11"/>
      <c r="M108" s="11"/>
      <c r="N108" s="12"/>
      <c r="O108" s="12" t="s">
        <v>42</v>
      </c>
      <c r="P108" s="12" t="n">
        <f aca="false">COUNTIF(Prüfanforderungen!$G$3:$G$181,$A108)</f>
        <v>1</v>
      </c>
      <c r="Q108" s="11" t="s">
        <v>292</v>
      </c>
    </row>
    <row r="109" customFormat="false" ht="46.25" hidden="false" customHeight="false" outlineLevel="0" collapsed="false">
      <c r="A109" s="11" t="s">
        <v>293</v>
      </c>
      <c r="B109" s="11"/>
      <c r="C109" s="12" t="s">
        <v>66</v>
      </c>
      <c r="D109" s="11"/>
      <c r="E109" s="11"/>
      <c r="F109" s="13"/>
      <c r="G109" s="12" t="s">
        <v>42</v>
      </c>
      <c r="H109" s="12" t="s">
        <v>42</v>
      </c>
      <c r="I109" s="11" t="s">
        <v>43</v>
      </c>
      <c r="J109" s="12" t="n">
        <v>0</v>
      </c>
      <c r="K109" s="11"/>
      <c r="L109" s="11"/>
      <c r="M109" s="11"/>
      <c r="N109" s="12"/>
      <c r="O109" s="12" t="s">
        <v>42</v>
      </c>
      <c r="P109" s="12" t="n">
        <f aca="false">COUNTIF(Prüfanforderungen!$G$3:$G$181,$A109)</f>
        <v>1</v>
      </c>
      <c r="Q109" s="11" t="s">
        <v>294</v>
      </c>
    </row>
    <row r="110" customFormat="false" ht="46.25" hidden="false" customHeight="false" outlineLevel="0" collapsed="false">
      <c r="A110" s="11" t="s">
        <v>295</v>
      </c>
      <c r="B110" s="11" t="s">
        <v>296</v>
      </c>
      <c r="C110" s="12" t="s">
        <v>48</v>
      </c>
      <c r="D110" s="11" t="s">
        <v>297</v>
      </c>
      <c r="E110" s="11" t="s">
        <v>298</v>
      </c>
      <c r="F110" s="13"/>
      <c r="G110" s="12" t="s">
        <v>42</v>
      </c>
      <c r="H110" s="12" t="s">
        <v>42</v>
      </c>
      <c r="I110" s="11" t="s">
        <v>43</v>
      </c>
      <c r="J110" s="12" t="n">
        <v>0</v>
      </c>
      <c r="K110" s="11"/>
      <c r="L110" s="11"/>
      <c r="M110" s="11"/>
      <c r="N110" s="12"/>
      <c r="O110" s="12" t="s">
        <v>42</v>
      </c>
      <c r="P110" s="12" t="n">
        <f aca="false">COUNTIF(Prüfanforderungen!$G$3:$G$181,$A110)</f>
        <v>0</v>
      </c>
      <c r="Q110" s="11" t="s">
        <v>299</v>
      </c>
    </row>
    <row r="111" customFormat="false" ht="46.25" hidden="false" customHeight="false" outlineLevel="0" collapsed="false">
      <c r="A111" s="11" t="s">
        <v>300</v>
      </c>
      <c r="B111" s="11" t="s">
        <v>301</v>
      </c>
      <c r="C111" s="12" t="s">
        <v>48</v>
      </c>
      <c r="D111" s="11" t="s">
        <v>297</v>
      </c>
      <c r="E111" s="11" t="s">
        <v>302</v>
      </c>
      <c r="F111" s="13"/>
      <c r="G111" s="12" t="s">
        <v>42</v>
      </c>
      <c r="H111" s="12" t="s">
        <v>42</v>
      </c>
      <c r="I111" s="11" t="s">
        <v>43</v>
      </c>
      <c r="J111" s="12" t="n">
        <v>0</v>
      </c>
      <c r="K111" s="11"/>
      <c r="L111" s="11"/>
      <c r="M111" s="11"/>
      <c r="N111" s="12"/>
      <c r="O111" s="12" t="s">
        <v>42</v>
      </c>
      <c r="P111" s="12" t="n">
        <f aca="false">COUNTIF(Prüfanforderungen!$G$3:$G$181,$A111)</f>
        <v>0</v>
      </c>
      <c r="Q111" s="11" t="s">
        <v>303</v>
      </c>
    </row>
    <row r="112" customFormat="false" ht="46.25" hidden="false" customHeight="false" outlineLevel="0" collapsed="false">
      <c r="A112" s="11" t="s">
        <v>304</v>
      </c>
      <c r="B112" s="11" t="s">
        <v>305</v>
      </c>
      <c r="C112" s="12" t="s">
        <v>48</v>
      </c>
      <c r="D112" s="11" t="s">
        <v>297</v>
      </c>
      <c r="E112" s="11" t="s">
        <v>306</v>
      </c>
      <c r="F112" s="13"/>
      <c r="G112" s="12" t="s">
        <v>42</v>
      </c>
      <c r="H112" s="12" t="s">
        <v>42</v>
      </c>
      <c r="I112" s="11" t="s">
        <v>43</v>
      </c>
      <c r="J112" s="12" t="n">
        <v>0</v>
      </c>
      <c r="K112" s="11"/>
      <c r="L112" s="11"/>
      <c r="M112" s="11"/>
      <c r="N112" s="12"/>
      <c r="O112" s="12" t="s">
        <v>42</v>
      </c>
      <c r="P112" s="12" t="n">
        <f aca="false">COUNTIF(Prüfanforderungen!$G$3:$G$181,$A112)</f>
        <v>0</v>
      </c>
      <c r="Q112" s="11" t="s">
        <v>307</v>
      </c>
    </row>
    <row r="113" customFormat="false" ht="46.25" hidden="false" customHeight="false" outlineLevel="0" collapsed="false">
      <c r="A113" s="11" t="s">
        <v>308</v>
      </c>
      <c r="B113" s="11" t="s">
        <v>309</v>
      </c>
      <c r="C113" s="12" t="s">
        <v>48</v>
      </c>
      <c r="D113" s="11" t="s">
        <v>297</v>
      </c>
      <c r="E113" s="11" t="s">
        <v>310</v>
      </c>
      <c r="F113" s="13"/>
      <c r="G113" s="12" t="s">
        <v>42</v>
      </c>
      <c r="H113" s="12" t="s">
        <v>42</v>
      </c>
      <c r="I113" s="11" t="s">
        <v>43</v>
      </c>
      <c r="J113" s="12" t="n">
        <v>0</v>
      </c>
      <c r="K113" s="11"/>
      <c r="L113" s="11"/>
      <c r="M113" s="11"/>
      <c r="N113" s="12"/>
      <c r="O113" s="12" t="s">
        <v>42</v>
      </c>
      <c r="P113" s="12" t="n">
        <f aca="false">COUNTIF(Prüfanforderungen!$G$3:$G$181,$A113)</f>
        <v>0</v>
      </c>
      <c r="Q113" s="11" t="s">
        <v>311</v>
      </c>
    </row>
    <row r="114" customFormat="false" ht="46.25" hidden="false" customHeight="false" outlineLevel="0" collapsed="false">
      <c r="A114" s="11" t="s">
        <v>312</v>
      </c>
      <c r="B114" s="11" t="s">
        <v>313</v>
      </c>
      <c r="C114" s="12" t="s">
        <v>48</v>
      </c>
      <c r="D114" s="11" t="s">
        <v>297</v>
      </c>
      <c r="E114" s="11" t="s">
        <v>314</v>
      </c>
      <c r="F114" s="13"/>
      <c r="G114" s="12" t="s">
        <v>42</v>
      </c>
      <c r="H114" s="12" t="s">
        <v>42</v>
      </c>
      <c r="I114" s="11" t="s">
        <v>43</v>
      </c>
      <c r="J114" s="12" t="n">
        <v>0</v>
      </c>
      <c r="K114" s="11"/>
      <c r="L114" s="11"/>
      <c r="M114" s="11"/>
      <c r="N114" s="12"/>
      <c r="O114" s="12" t="s">
        <v>42</v>
      </c>
      <c r="P114" s="12" t="n">
        <f aca="false">COUNTIF(Prüfanforderungen!$G$3:$G$181,$A114)</f>
        <v>0</v>
      </c>
      <c r="Q114" s="11" t="s">
        <v>315</v>
      </c>
    </row>
    <row r="115" customFormat="false" ht="46.25" hidden="false" customHeight="false" outlineLevel="0" collapsed="false">
      <c r="A115" s="11" t="s">
        <v>316</v>
      </c>
      <c r="B115" s="11"/>
      <c r="C115" s="12" t="s">
        <v>48</v>
      </c>
      <c r="D115" s="11" t="s">
        <v>297</v>
      </c>
      <c r="E115" s="11" t="s">
        <v>317</v>
      </c>
      <c r="F115" s="13"/>
      <c r="G115" s="12" t="s">
        <v>42</v>
      </c>
      <c r="H115" s="12" t="s">
        <v>42</v>
      </c>
      <c r="I115" s="11"/>
      <c r="J115" s="12" t="n">
        <v>0</v>
      </c>
      <c r="K115" s="11"/>
      <c r="L115" s="11"/>
      <c r="M115" s="11"/>
      <c r="N115" s="12"/>
      <c r="O115" s="12" t="s">
        <v>42</v>
      </c>
      <c r="P115" s="12" t="n">
        <f aca="false">COUNTIF(Prüfanforderungen!$G$3:$G$181,$A115)</f>
        <v>0</v>
      </c>
      <c r="Q115" s="11" t="s">
        <v>318</v>
      </c>
    </row>
    <row r="116" customFormat="false" ht="46.25" hidden="false" customHeight="false" outlineLevel="0" collapsed="false">
      <c r="A116" s="11" t="s">
        <v>319</v>
      </c>
      <c r="B116" s="11"/>
      <c r="C116" s="12" t="s">
        <v>48</v>
      </c>
      <c r="D116" s="11" t="s">
        <v>297</v>
      </c>
      <c r="E116" s="11" t="s">
        <v>320</v>
      </c>
      <c r="F116" s="13"/>
      <c r="G116" s="12" t="s">
        <v>42</v>
      </c>
      <c r="H116" s="12" t="s">
        <v>42</v>
      </c>
      <c r="I116" s="11"/>
      <c r="J116" s="12" t="n">
        <v>0</v>
      </c>
      <c r="K116" s="11"/>
      <c r="L116" s="11"/>
      <c r="M116" s="11"/>
      <c r="N116" s="12"/>
      <c r="O116" s="12" t="s">
        <v>42</v>
      </c>
      <c r="P116" s="12" t="n">
        <f aca="false">COUNTIF(Prüfanforderungen!$G$3:$G$181,$A116)</f>
        <v>0</v>
      </c>
      <c r="Q116" s="11" t="s">
        <v>321</v>
      </c>
    </row>
    <row r="117" customFormat="false" ht="46.25" hidden="false" customHeight="false" outlineLevel="0" collapsed="false">
      <c r="A117" s="11" t="s">
        <v>322</v>
      </c>
      <c r="B117" s="11"/>
      <c r="C117" s="12" t="s">
        <v>48</v>
      </c>
      <c r="D117" s="11" t="s">
        <v>297</v>
      </c>
      <c r="E117" s="11" t="s">
        <v>320</v>
      </c>
      <c r="F117" s="13"/>
      <c r="G117" s="12" t="s">
        <v>42</v>
      </c>
      <c r="H117" s="12" t="s">
        <v>42</v>
      </c>
      <c r="I117" s="11"/>
      <c r="J117" s="12" t="n">
        <v>0</v>
      </c>
      <c r="K117" s="11"/>
      <c r="L117" s="11"/>
      <c r="M117" s="11"/>
      <c r="N117" s="12"/>
      <c r="O117" s="12" t="s">
        <v>42</v>
      </c>
      <c r="P117" s="12" t="n">
        <f aca="false">COUNTIF(Prüfanforderungen!$G$3:$G$181,$A117)</f>
        <v>0</v>
      </c>
      <c r="Q117" s="11" t="s">
        <v>323</v>
      </c>
    </row>
    <row r="118" customFormat="false" ht="35.05" hidden="false" customHeight="false" outlineLevel="0" collapsed="false">
      <c r="A118" s="11" t="s">
        <v>324</v>
      </c>
      <c r="B118" s="11"/>
      <c r="C118" s="12" t="s">
        <v>48</v>
      </c>
      <c r="D118" s="11" t="s">
        <v>297</v>
      </c>
      <c r="E118" s="11" t="s">
        <v>320</v>
      </c>
      <c r="F118" s="13"/>
      <c r="G118" s="12" t="s">
        <v>42</v>
      </c>
      <c r="H118" s="12" t="s">
        <v>42</v>
      </c>
      <c r="I118" s="11"/>
      <c r="J118" s="12" t="n">
        <v>0</v>
      </c>
      <c r="K118" s="11"/>
      <c r="L118" s="11"/>
      <c r="M118" s="11"/>
      <c r="N118" s="12"/>
      <c r="O118" s="12" t="s">
        <v>42</v>
      </c>
      <c r="P118" s="12" t="n">
        <f aca="false">COUNTIF(Prüfanforderungen!$G$3:$G$181,$A118)</f>
        <v>0</v>
      </c>
      <c r="Q118" s="11" t="s">
        <v>325</v>
      </c>
    </row>
    <row r="119" customFormat="false" ht="46.25" hidden="false" customHeight="false" outlineLevel="0" collapsed="false">
      <c r="A119" s="11" t="s">
        <v>326</v>
      </c>
      <c r="B119" s="11"/>
      <c r="C119" s="12" t="s">
        <v>48</v>
      </c>
      <c r="D119" s="11" t="s">
        <v>297</v>
      </c>
      <c r="E119" s="11" t="s">
        <v>320</v>
      </c>
      <c r="F119" s="13"/>
      <c r="G119" s="12" t="s">
        <v>42</v>
      </c>
      <c r="H119" s="12" t="s">
        <v>42</v>
      </c>
      <c r="I119" s="11"/>
      <c r="J119" s="12" t="n">
        <v>0</v>
      </c>
      <c r="K119" s="11"/>
      <c r="L119" s="11"/>
      <c r="M119" s="11"/>
      <c r="N119" s="12"/>
      <c r="O119" s="12" t="s">
        <v>42</v>
      </c>
      <c r="P119" s="12" t="n">
        <f aca="false">COUNTIF(Prüfanforderungen!$G$3:$G$181,$A119)</f>
        <v>0</v>
      </c>
      <c r="Q119" s="11" t="s">
        <v>327</v>
      </c>
    </row>
    <row r="120" customFormat="false" ht="46.25" hidden="false" customHeight="false" outlineLevel="0" collapsed="false">
      <c r="A120" s="11" t="s">
        <v>328</v>
      </c>
      <c r="B120" s="11" t="s">
        <v>329</v>
      </c>
      <c r="C120" s="12" t="s">
        <v>48</v>
      </c>
      <c r="D120" s="11" t="s">
        <v>330</v>
      </c>
      <c r="E120" s="11" t="s">
        <v>331</v>
      </c>
      <c r="F120" s="13" t="n">
        <v>180</v>
      </c>
      <c r="G120" s="12" t="s">
        <v>42</v>
      </c>
      <c r="H120" s="12" t="s">
        <v>42</v>
      </c>
      <c r="I120" s="11" t="s">
        <v>43</v>
      </c>
      <c r="J120" s="12" t="n">
        <v>0</v>
      </c>
      <c r="K120" s="11"/>
      <c r="L120" s="11" t="s">
        <v>332</v>
      </c>
      <c r="M120" s="11"/>
      <c r="N120" s="12"/>
      <c r="O120" s="12" t="s">
        <v>42</v>
      </c>
      <c r="P120" s="12" t="n">
        <f aca="false">COUNTIF(Prüfanforderungen!$G$3:$G$181,$A120)</f>
        <v>0</v>
      </c>
      <c r="Q120" s="11" t="s">
        <v>333</v>
      </c>
    </row>
    <row r="121" customFormat="false" ht="46.25" hidden="false" customHeight="false" outlineLevel="0" collapsed="false">
      <c r="A121" s="11" t="s">
        <v>334</v>
      </c>
      <c r="B121" s="11" t="s">
        <v>335</v>
      </c>
      <c r="C121" s="12" t="s">
        <v>48</v>
      </c>
      <c r="D121" s="11" t="s">
        <v>330</v>
      </c>
      <c r="E121" s="11" t="s">
        <v>336</v>
      </c>
      <c r="F121" s="13" t="n">
        <v>240</v>
      </c>
      <c r="G121" s="12" t="s">
        <v>42</v>
      </c>
      <c r="H121" s="12" t="s">
        <v>42</v>
      </c>
      <c r="I121" s="11" t="s">
        <v>337</v>
      </c>
      <c r="J121" s="12" t="n">
        <v>0</v>
      </c>
      <c r="K121" s="11"/>
      <c r="L121" s="11"/>
      <c r="M121" s="11"/>
      <c r="N121" s="12"/>
      <c r="O121" s="12" t="s">
        <v>42</v>
      </c>
      <c r="P121" s="12" t="n">
        <f aca="false">COUNTIF(Prüfanforderungen!$G$3:$G$181,$A121)</f>
        <v>0</v>
      </c>
      <c r="Q121" s="11" t="s">
        <v>338</v>
      </c>
    </row>
    <row r="122" customFormat="false" ht="46.25" hidden="false" customHeight="false" outlineLevel="0" collapsed="false">
      <c r="A122" s="11" t="s">
        <v>339</v>
      </c>
      <c r="B122" s="11" t="s">
        <v>340</v>
      </c>
      <c r="C122" s="12" t="s">
        <v>48</v>
      </c>
      <c r="D122" s="11" t="s">
        <v>330</v>
      </c>
      <c r="E122" s="11" t="s">
        <v>89</v>
      </c>
      <c r="F122" s="13"/>
      <c r="G122" s="12" t="s">
        <v>42</v>
      </c>
      <c r="H122" s="12" t="s">
        <v>42</v>
      </c>
      <c r="I122" s="11" t="s">
        <v>43</v>
      </c>
      <c r="J122" s="12" t="n">
        <v>0</v>
      </c>
      <c r="K122" s="11"/>
      <c r="L122" s="11"/>
      <c r="M122" s="11"/>
      <c r="N122" s="12"/>
      <c r="O122" s="12" t="s">
        <v>42</v>
      </c>
      <c r="P122" s="12" t="n">
        <f aca="false">COUNTIF(Prüfanforderungen!$G$3:$G$181,$A122)</f>
        <v>0</v>
      </c>
      <c r="Q122" s="11" t="s">
        <v>341</v>
      </c>
    </row>
    <row r="123" customFormat="false" ht="46.25" hidden="false" customHeight="false" outlineLevel="0" collapsed="false">
      <c r="A123" s="11" t="s">
        <v>102</v>
      </c>
      <c r="B123" s="11" t="s">
        <v>342</v>
      </c>
      <c r="C123" s="12" t="s">
        <v>66</v>
      </c>
      <c r="D123" s="11" t="s">
        <v>343</v>
      </c>
      <c r="E123" s="11" t="s">
        <v>92</v>
      </c>
      <c r="F123" s="13"/>
      <c r="G123" s="12" t="s">
        <v>42</v>
      </c>
      <c r="H123" s="12" t="s">
        <v>42</v>
      </c>
      <c r="I123" s="11" t="s">
        <v>43</v>
      </c>
      <c r="J123" s="12" t="n">
        <v>3</v>
      </c>
      <c r="K123" s="11" t="s">
        <v>344</v>
      </c>
      <c r="L123" s="11"/>
      <c r="M123" s="11"/>
      <c r="N123" s="12"/>
      <c r="O123" s="12" t="s">
        <v>42</v>
      </c>
      <c r="P123" s="12" t="n">
        <f aca="false">COUNTIF(Prüfanforderungen!$G$3:$G$181,$A123)</f>
        <v>1</v>
      </c>
      <c r="Q123" s="11" t="s">
        <v>345</v>
      </c>
    </row>
  </sheetData>
  <autoFilter ref="A2:Q123"/>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55"/>
    <col collapsed="false" customWidth="true" hidden="false" outlineLevel="0" max="3" min="3" style="0" width="22"/>
    <col collapsed="false" customWidth="true" hidden="false" outlineLevel="0" max="4" min="4" style="0" width="45"/>
    <col collapsed="false" customWidth="true" hidden="false" outlineLevel="0" max="5" min="5" style="0" width="55"/>
    <col collapsed="false" customWidth="true" hidden="false" outlineLevel="0" max="6" min="6" style="0" width="13"/>
  </cols>
  <sheetData>
    <row r="1" customFormat="false" ht="15" hidden="false" customHeight="false" outlineLevel="0" collapsed="false">
      <c r="A1" s="9" t="s">
        <v>346</v>
      </c>
      <c r="B1" s="9"/>
      <c r="C1" s="9"/>
      <c r="D1" s="9"/>
      <c r="E1" s="9"/>
      <c r="F1" s="9"/>
    </row>
    <row r="2" customFormat="false" ht="30" hidden="false" customHeight="true" outlineLevel="0" collapsed="false">
      <c r="A2" s="10" t="s">
        <v>347</v>
      </c>
      <c r="B2" s="10" t="s">
        <v>348</v>
      </c>
      <c r="C2" s="10" t="s">
        <v>27</v>
      </c>
      <c r="D2" s="10" t="s">
        <v>349</v>
      </c>
      <c r="E2" s="10" t="s">
        <v>350</v>
      </c>
      <c r="F2" s="10" t="s">
        <v>29</v>
      </c>
    </row>
    <row r="3" customFormat="false" ht="23.85" hidden="false" customHeight="false" outlineLevel="0" collapsed="false">
      <c r="A3" s="11" t="s">
        <v>102</v>
      </c>
      <c r="B3" s="11" t="s">
        <v>342</v>
      </c>
      <c r="C3" s="11" t="s">
        <v>343</v>
      </c>
      <c r="D3" s="11" t="s">
        <v>351</v>
      </c>
      <c r="E3" s="11"/>
      <c r="F3" s="13"/>
    </row>
    <row r="4" customFormat="false" ht="23.85" hidden="false" customHeight="false" outlineLevel="0" collapsed="false">
      <c r="A4" s="11" t="s">
        <v>102</v>
      </c>
      <c r="B4" s="11" t="s">
        <v>342</v>
      </c>
      <c r="C4" s="11" t="s">
        <v>343</v>
      </c>
      <c r="D4" s="11" t="s">
        <v>352</v>
      </c>
      <c r="E4" s="11"/>
      <c r="F4" s="13"/>
    </row>
    <row r="5" customFormat="false" ht="23.85" hidden="false" customHeight="false" outlineLevel="0" collapsed="false">
      <c r="A5" s="11" t="s">
        <v>102</v>
      </c>
      <c r="B5" s="11" t="s">
        <v>342</v>
      </c>
      <c r="C5" s="11" t="s">
        <v>343</v>
      </c>
      <c r="D5" s="11" t="s">
        <v>353</v>
      </c>
      <c r="E5" s="11"/>
      <c r="F5" s="13"/>
    </row>
    <row r="6" customFormat="false" ht="15" hidden="false" customHeight="false" outlineLevel="0" collapsed="false">
      <c r="A6" s="11" t="s">
        <v>141</v>
      </c>
      <c r="B6" s="11" t="s">
        <v>142</v>
      </c>
      <c r="C6" s="11"/>
      <c r="D6" s="11" t="s">
        <v>354</v>
      </c>
      <c r="E6" s="11"/>
      <c r="F6" s="13"/>
    </row>
    <row r="7" customFormat="false" ht="15" hidden="false" customHeight="false" outlineLevel="0" collapsed="false">
      <c r="A7" s="11" t="s">
        <v>141</v>
      </c>
      <c r="B7" s="11" t="s">
        <v>142</v>
      </c>
      <c r="C7" s="11"/>
      <c r="D7" s="11" t="s">
        <v>355</v>
      </c>
      <c r="E7" s="11"/>
      <c r="F7" s="13"/>
    </row>
    <row r="8" customFormat="false" ht="15" hidden="false" customHeight="false" outlineLevel="0" collapsed="false">
      <c r="A8" s="11" t="s">
        <v>141</v>
      </c>
      <c r="B8" s="11" t="s">
        <v>142</v>
      </c>
      <c r="C8" s="11"/>
      <c r="D8" s="11" t="s">
        <v>356</v>
      </c>
      <c r="E8" s="11"/>
      <c r="F8" s="13"/>
    </row>
    <row r="9" customFormat="false" ht="113.4" hidden="false" customHeight="false" outlineLevel="0" collapsed="false">
      <c r="A9" s="11" t="s">
        <v>146</v>
      </c>
      <c r="B9" s="11" t="s">
        <v>147</v>
      </c>
      <c r="C9" s="11"/>
      <c r="D9" s="11" t="s">
        <v>357</v>
      </c>
      <c r="E9" s="11" t="s">
        <v>358</v>
      </c>
      <c r="F9" s="13"/>
    </row>
    <row r="10" customFormat="false" ht="79.85" hidden="false" customHeight="false" outlineLevel="0" collapsed="false">
      <c r="A10" s="11" t="s">
        <v>146</v>
      </c>
      <c r="B10" s="11" t="s">
        <v>147</v>
      </c>
      <c r="C10" s="11"/>
      <c r="D10" s="11" t="s">
        <v>359</v>
      </c>
      <c r="E10" s="11" t="s">
        <v>360</v>
      </c>
      <c r="F10" s="13"/>
    </row>
    <row r="11" customFormat="false" ht="23.85" hidden="false" customHeight="false" outlineLevel="0" collapsed="false">
      <c r="A11" s="11" t="s">
        <v>146</v>
      </c>
      <c r="B11" s="11" t="s">
        <v>147</v>
      </c>
      <c r="C11" s="11"/>
      <c r="D11" s="11" t="s">
        <v>361</v>
      </c>
      <c r="E11" s="11" t="s">
        <v>362</v>
      </c>
      <c r="F11" s="13"/>
    </row>
    <row r="12" customFormat="false" ht="191.75" hidden="false" customHeight="false" outlineLevel="0" collapsed="false">
      <c r="A12" s="11" t="s">
        <v>146</v>
      </c>
      <c r="B12" s="11" t="s">
        <v>147</v>
      </c>
      <c r="C12" s="11"/>
      <c r="D12" s="11" t="s">
        <v>363</v>
      </c>
      <c r="E12" s="11" t="s">
        <v>364</v>
      </c>
      <c r="F12" s="13"/>
    </row>
    <row r="13" customFormat="false" ht="180.55" hidden="false" customHeight="false" outlineLevel="0" collapsed="false">
      <c r="A13" s="11" t="s">
        <v>146</v>
      </c>
      <c r="B13" s="11" t="s">
        <v>147</v>
      </c>
      <c r="C13" s="11"/>
      <c r="D13" s="11" t="s">
        <v>349</v>
      </c>
      <c r="E13" s="11" t="s">
        <v>365</v>
      </c>
      <c r="F13" s="13"/>
    </row>
    <row r="14" customFormat="false" ht="35.05" hidden="false" customHeight="false" outlineLevel="0" collapsed="false">
      <c r="A14" s="11" t="s">
        <v>146</v>
      </c>
      <c r="B14" s="11" t="s">
        <v>147</v>
      </c>
      <c r="C14" s="11"/>
      <c r="D14" s="11" t="s">
        <v>366</v>
      </c>
      <c r="E14" s="11" t="s">
        <v>367</v>
      </c>
      <c r="F14" s="13"/>
    </row>
    <row r="15" customFormat="false" ht="23.85" hidden="false" customHeight="false" outlineLevel="0" collapsed="false">
      <c r="A15" s="11" t="s">
        <v>146</v>
      </c>
      <c r="B15" s="11" t="s">
        <v>147</v>
      </c>
      <c r="C15" s="11"/>
      <c r="D15" s="11" t="s">
        <v>368</v>
      </c>
      <c r="E15" s="11" t="s">
        <v>369</v>
      </c>
      <c r="F15" s="13"/>
    </row>
    <row r="16" customFormat="false" ht="91" hidden="false" customHeight="false" outlineLevel="0" collapsed="false">
      <c r="A16" s="11" t="s">
        <v>146</v>
      </c>
      <c r="B16" s="11" t="s">
        <v>147</v>
      </c>
      <c r="C16" s="11"/>
      <c r="D16" s="11" t="s">
        <v>370</v>
      </c>
      <c r="E16" s="11" t="s">
        <v>371</v>
      </c>
      <c r="F16" s="13"/>
    </row>
    <row r="17" customFormat="false" ht="23.85" hidden="false" customHeight="false" outlineLevel="0" collapsed="false">
      <c r="A17" s="11" t="s">
        <v>146</v>
      </c>
      <c r="B17" s="11" t="s">
        <v>147</v>
      </c>
      <c r="C17" s="11"/>
      <c r="D17" s="11" t="s">
        <v>372</v>
      </c>
      <c r="E17" s="11" t="s">
        <v>373</v>
      </c>
      <c r="F17" s="13"/>
    </row>
    <row r="18" customFormat="false" ht="169.4" hidden="false" customHeight="false" outlineLevel="0" collapsed="false">
      <c r="A18" s="11" t="s">
        <v>146</v>
      </c>
      <c r="B18" s="11" t="s">
        <v>147</v>
      </c>
      <c r="C18" s="11"/>
      <c r="D18" s="11" t="s">
        <v>374</v>
      </c>
      <c r="E18" s="11" t="s">
        <v>375</v>
      </c>
      <c r="F18" s="13"/>
    </row>
    <row r="19" customFormat="false" ht="158.2" hidden="false" customHeight="false" outlineLevel="0" collapsed="false">
      <c r="A19" s="11" t="s">
        <v>146</v>
      </c>
      <c r="B19" s="11" t="s">
        <v>147</v>
      </c>
      <c r="C19" s="11"/>
      <c r="D19" s="11" t="s">
        <v>374</v>
      </c>
      <c r="E19" s="11" t="s">
        <v>376</v>
      </c>
      <c r="F19" s="13"/>
    </row>
    <row r="20" customFormat="false" ht="124.6" hidden="false" customHeight="false" outlineLevel="0" collapsed="false">
      <c r="A20" s="11" t="s">
        <v>146</v>
      </c>
      <c r="B20" s="11" t="s">
        <v>147</v>
      </c>
      <c r="C20" s="11"/>
      <c r="D20" s="11" t="s">
        <v>374</v>
      </c>
      <c r="E20" s="11" t="s">
        <v>377</v>
      </c>
      <c r="F20" s="13"/>
    </row>
    <row r="21" customFormat="false" ht="214.15" hidden="false" customHeight="false" outlineLevel="0" collapsed="false">
      <c r="A21" s="11" t="s">
        <v>146</v>
      </c>
      <c r="B21" s="11" t="s">
        <v>147</v>
      </c>
      <c r="C21" s="11"/>
      <c r="D21" s="11" t="s">
        <v>374</v>
      </c>
      <c r="E21" s="11" t="s">
        <v>378</v>
      </c>
      <c r="F21" s="13"/>
    </row>
    <row r="22" customFormat="false" ht="91" hidden="false" customHeight="false" outlineLevel="0" collapsed="false">
      <c r="A22" s="11" t="s">
        <v>146</v>
      </c>
      <c r="B22" s="11" t="s">
        <v>147</v>
      </c>
      <c r="C22" s="11"/>
      <c r="D22" s="11" t="s">
        <v>374</v>
      </c>
      <c r="E22" s="11" t="s">
        <v>379</v>
      </c>
      <c r="F22" s="13"/>
    </row>
    <row r="23" customFormat="false" ht="426.85" hidden="false" customHeight="false" outlineLevel="0" collapsed="false">
      <c r="A23" s="11" t="s">
        <v>146</v>
      </c>
      <c r="B23" s="11" t="s">
        <v>147</v>
      </c>
      <c r="C23" s="11"/>
      <c r="D23" s="11" t="s">
        <v>380</v>
      </c>
      <c r="E23" s="11" t="s">
        <v>381</v>
      </c>
      <c r="F23" s="13"/>
    </row>
    <row r="24" customFormat="false" ht="214.15" hidden="false" customHeight="false" outlineLevel="0" collapsed="false">
      <c r="A24" s="11" t="s">
        <v>146</v>
      </c>
      <c r="B24" s="11" t="s">
        <v>147</v>
      </c>
      <c r="C24" s="11"/>
      <c r="D24" s="11" t="s">
        <v>382</v>
      </c>
      <c r="E24" s="11" t="s">
        <v>383</v>
      </c>
      <c r="F24" s="13"/>
    </row>
    <row r="25" customFormat="false" ht="214.15" hidden="false" customHeight="false" outlineLevel="0" collapsed="false">
      <c r="A25" s="11" t="s">
        <v>146</v>
      </c>
      <c r="B25" s="11" t="s">
        <v>147</v>
      </c>
      <c r="C25" s="11"/>
      <c r="D25" s="11" t="s">
        <v>384</v>
      </c>
      <c r="E25" s="11" t="s">
        <v>385</v>
      </c>
      <c r="F25" s="13"/>
    </row>
    <row r="26" customFormat="false" ht="158.2" hidden="false" customHeight="false" outlineLevel="0" collapsed="false">
      <c r="A26" s="11" t="s">
        <v>146</v>
      </c>
      <c r="B26" s="11" t="s">
        <v>147</v>
      </c>
      <c r="C26" s="11"/>
      <c r="D26" s="11" t="s">
        <v>386</v>
      </c>
      <c r="E26" s="11" t="s">
        <v>387</v>
      </c>
      <c r="F26" s="13"/>
    </row>
    <row r="27" customFormat="false" ht="270.1" hidden="false" customHeight="false" outlineLevel="0" collapsed="false">
      <c r="A27" s="11" t="s">
        <v>146</v>
      </c>
      <c r="B27" s="11" t="s">
        <v>147</v>
      </c>
      <c r="C27" s="11"/>
      <c r="D27" s="11" t="s">
        <v>388</v>
      </c>
      <c r="E27" s="11" t="s">
        <v>389</v>
      </c>
      <c r="F27" s="13"/>
    </row>
    <row r="28" customFormat="false" ht="23.85" hidden="false" customHeight="false" outlineLevel="0" collapsed="false">
      <c r="A28" s="11" t="s">
        <v>146</v>
      </c>
      <c r="B28" s="11" t="s">
        <v>147</v>
      </c>
      <c r="C28" s="11"/>
      <c r="D28" s="11" t="s">
        <v>390</v>
      </c>
      <c r="E28" s="11" t="s">
        <v>391</v>
      </c>
      <c r="F28" s="13"/>
    </row>
    <row r="29" customFormat="false" ht="23.85" hidden="false" customHeight="false" outlineLevel="0" collapsed="false">
      <c r="A29" s="11" t="s">
        <v>146</v>
      </c>
      <c r="B29" s="11" t="s">
        <v>147</v>
      </c>
      <c r="C29" s="11"/>
      <c r="D29" s="11" t="s">
        <v>392</v>
      </c>
      <c r="E29" s="11" t="s">
        <v>393</v>
      </c>
      <c r="F29" s="13"/>
    </row>
    <row r="30" customFormat="false" ht="35.05" hidden="false" customHeight="false" outlineLevel="0" collapsed="false">
      <c r="A30" s="11" t="s">
        <v>146</v>
      </c>
      <c r="B30" s="11" t="s">
        <v>147</v>
      </c>
      <c r="C30" s="11"/>
      <c r="D30" s="11" t="s">
        <v>394</v>
      </c>
      <c r="E30" s="11" t="s">
        <v>395</v>
      </c>
      <c r="F30" s="13"/>
    </row>
  </sheetData>
  <autoFilter ref="A2:F30"/>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8"/>
    <col collapsed="false" customWidth="true" hidden="false" outlineLevel="0" max="4" min="4" style="0" width="22"/>
    <col collapsed="false" customWidth="true" hidden="false" outlineLevel="0" max="6" min="5" style="0" width="20"/>
    <col collapsed="false" customWidth="true" hidden="false" outlineLevel="0" max="7" min="7" style="0" width="26"/>
    <col collapsed="false" customWidth="true" hidden="false" outlineLevel="0" max="8" min="8" style="0" width="55"/>
    <col collapsed="false" customWidth="true" hidden="false" outlineLevel="0" max="9" min="9" style="0" width="13"/>
    <col collapsed="false" customWidth="true" hidden="false" outlineLevel="0" max="10" min="10" style="0" width="28"/>
    <col collapsed="false" customWidth="true" hidden="false" outlineLevel="0" max="11" min="11" style="0" width="15"/>
    <col collapsed="false" customWidth="true" hidden="false" outlineLevel="0" max="12" min="12" style="0" width="16"/>
    <col collapsed="false" customWidth="true" hidden="false" outlineLevel="0" max="14" min="13" style="0" width="8"/>
    <col collapsed="false" customWidth="true" hidden="false" outlineLevel="0" max="15" min="15" style="0" width="38"/>
    <col collapsed="false" customWidth="true" hidden="true" outlineLevel="0" max="16" min="16" style="0" width="10"/>
  </cols>
  <sheetData>
    <row r="1" customFormat="false" ht="15" hidden="false" customHeight="false" outlineLevel="0" collapsed="false">
      <c r="A1" s="9" t="s">
        <v>396</v>
      </c>
      <c r="B1" s="9"/>
      <c r="C1" s="9"/>
      <c r="D1" s="9"/>
      <c r="E1" s="9"/>
      <c r="F1" s="9"/>
      <c r="G1" s="9"/>
      <c r="H1" s="9"/>
      <c r="I1" s="9"/>
      <c r="J1" s="9"/>
      <c r="K1" s="9"/>
      <c r="L1" s="9"/>
      <c r="M1" s="9"/>
      <c r="N1" s="9"/>
      <c r="O1" s="9"/>
      <c r="P1" s="9"/>
    </row>
    <row r="2" customFormat="false" ht="30" hidden="false" customHeight="true" outlineLevel="0" collapsed="false">
      <c r="A2" s="10" t="s">
        <v>397</v>
      </c>
      <c r="B2" s="10" t="s">
        <v>398</v>
      </c>
      <c r="C2" s="10" t="s">
        <v>399</v>
      </c>
      <c r="D2" s="10" t="s">
        <v>400</v>
      </c>
      <c r="E2" s="10" t="s">
        <v>27</v>
      </c>
      <c r="F2" s="10" t="s">
        <v>28</v>
      </c>
      <c r="G2" s="10" t="s">
        <v>24</v>
      </c>
      <c r="H2" s="10" t="s">
        <v>348</v>
      </c>
      <c r="I2" s="10" t="s">
        <v>401</v>
      </c>
      <c r="J2" s="10" t="s">
        <v>349</v>
      </c>
      <c r="K2" s="10" t="s">
        <v>402</v>
      </c>
      <c r="L2" s="10" t="s">
        <v>403</v>
      </c>
      <c r="M2" s="10" t="s">
        <v>30</v>
      </c>
      <c r="N2" s="10" t="s">
        <v>31</v>
      </c>
      <c r="O2" s="10" t="s">
        <v>404</v>
      </c>
      <c r="P2" s="10" t="s">
        <v>405</v>
      </c>
    </row>
    <row r="3" customFormat="false" ht="46.25" hidden="false" customHeight="false" outlineLevel="0" collapsed="false">
      <c r="A3" s="11"/>
      <c r="B3" s="11" t="s">
        <v>406</v>
      </c>
      <c r="C3" s="11" t="s">
        <v>407</v>
      </c>
      <c r="D3" s="11" t="s">
        <v>343</v>
      </c>
      <c r="E3" s="11"/>
      <c r="F3" s="11"/>
      <c r="G3" s="11" t="s">
        <v>289</v>
      </c>
      <c r="H3" s="11"/>
      <c r="I3" s="12" t="s">
        <v>42</v>
      </c>
      <c r="J3" s="11"/>
      <c r="K3" s="13" t="n">
        <v>0</v>
      </c>
      <c r="L3" s="13"/>
      <c r="M3" s="12" t="s">
        <v>42</v>
      </c>
      <c r="N3" s="12" t="s">
        <v>42</v>
      </c>
      <c r="O3" s="11"/>
      <c r="P3" s="11" t="s">
        <v>408</v>
      </c>
    </row>
    <row r="4" customFormat="false" ht="46.25" hidden="false" customHeight="false" outlineLevel="0" collapsed="false">
      <c r="A4" s="11" t="s">
        <v>409</v>
      </c>
      <c r="B4" s="11" t="s">
        <v>410</v>
      </c>
      <c r="C4" s="11" t="s">
        <v>411</v>
      </c>
      <c r="D4" s="11" t="s">
        <v>343</v>
      </c>
      <c r="E4" s="11"/>
      <c r="F4" s="11"/>
      <c r="G4" s="11" t="s">
        <v>197</v>
      </c>
      <c r="H4" s="11"/>
      <c r="I4" s="12" t="s">
        <v>42</v>
      </c>
      <c r="J4" s="11"/>
      <c r="K4" s="13" t="n">
        <v>720</v>
      </c>
      <c r="L4" s="13"/>
      <c r="M4" s="12" t="s">
        <v>42</v>
      </c>
      <c r="N4" s="12" t="s">
        <v>42</v>
      </c>
      <c r="O4" s="11" t="s">
        <v>198</v>
      </c>
      <c r="P4" s="11" t="s">
        <v>412</v>
      </c>
    </row>
    <row r="5" customFormat="false" ht="46.25" hidden="false" customHeight="false" outlineLevel="0" collapsed="false">
      <c r="A5" s="11" t="s">
        <v>409</v>
      </c>
      <c r="B5" s="11" t="s">
        <v>410</v>
      </c>
      <c r="C5" s="11" t="s">
        <v>413</v>
      </c>
      <c r="D5" s="11" t="s">
        <v>343</v>
      </c>
      <c r="E5" s="11"/>
      <c r="F5" s="11"/>
      <c r="G5" s="11" t="s">
        <v>197</v>
      </c>
      <c r="H5" s="11"/>
      <c r="I5" s="12" t="s">
        <v>42</v>
      </c>
      <c r="J5" s="11"/>
      <c r="K5" s="13" t="n">
        <v>1080</v>
      </c>
      <c r="L5" s="13"/>
      <c r="M5" s="12" t="s">
        <v>42</v>
      </c>
      <c r="N5" s="12" t="s">
        <v>42</v>
      </c>
      <c r="O5" s="11" t="s">
        <v>198</v>
      </c>
      <c r="P5" s="11" t="s">
        <v>414</v>
      </c>
    </row>
    <row r="6" customFormat="false" ht="91" hidden="false" customHeight="false" outlineLevel="0" collapsed="false">
      <c r="A6" s="11" t="s">
        <v>409</v>
      </c>
      <c r="B6" s="11" t="s">
        <v>410</v>
      </c>
      <c r="C6" s="11" t="s">
        <v>415</v>
      </c>
      <c r="D6" s="11" t="s">
        <v>343</v>
      </c>
      <c r="E6" s="11"/>
      <c r="F6" s="11"/>
      <c r="G6" s="11" t="s">
        <v>229</v>
      </c>
      <c r="H6" s="11"/>
      <c r="I6" s="12" t="s">
        <v>42</v>
      </c>
      <c r="J6" s="11"/>
      <c r="K6" s="13" t="n">
        <v>0</v>
      </c>
      <c r="L6" s="13"/>
      <c r="M6" s="12" t="s">
        <v>42</v>
      </c>
      <c r="N6" s="12" t="s">
        <v>42</v>
      </c>
      <c r="O6" s="11" t="s">
        <v>227</v>
      </c>
      <c r="P6" s="11" t="s">
        <v>416</v>
      </c>
    </row>
    <row r="7" customFormat="false" ht="46.25" hidden="false" customHeight="false" outlineLevel="0" collapsed="false">
      <c r="A7" s="11" t="s">
        <v>409</v>
      </c>
      <c r="B7" s="11" t="s">
        <v>410</v>
      </c>
      <c r="C7" s="11" t="s">
        <v>417</v>
      </c>
      <c r="D7" s="11" t="s">
        <v>343</v>
      </c>
      <c r="E7" s="11"/>
      <c r="F7" s="11"/>
      <c r="G7" s="11" t="s">
        <v>197</v>
      </c>
      <c r="H7" s="11"/>
      <c r="I7" s="12" t="s">
        <v>42</v>
      </c>
      <c r="J7" s="11"/>
      <c r="K7" s="13" t="n">
        <v>720</v>
      </c>
      <c r="L7" s="13"/>
      <c r="M7" s="12" t="s">
        <v>42</v>
      </c>
      <c r="N7" s="12" t="s">
        <v>42</v>
      </c>
      <c r="O7" s="11" t="s">
        <v>198</v>
      </c>
      <c r="P7" s="11" t="s">
        <v>418</v>
      </c>
    </row>
    <row r="8" customFormat="false" ht="35.05" hidden="false" customHeight="false" outlineLevel="0" collapsed="false">
      <c r="A8" s="11" t="s">
        <v>409</v>
      </c>
      <c r="B8" s="11" t="s">
        <v>419</v>
      </c>
      <c r="C8" s="11" t="s">
        <v>420</v>
      </c>
      <c r="D8" s="11" t="s">
        <v>343</v>
      </c>
      <c r="E8" s="11"/>
      <c r="F8" s="11"/>
      <c r="G8" s="11" t="s">
        <v>202</v>
      </c>
      <c r="H8" s="11"/>
      <c r="I8" s="12" t="s">
        <v>42</v>
      </c>
      <c r="J8" s="11"/>
      <c r="K8" s="13" t="n">
        <v>0</v>
      </c>
      <c r="L8" s="13"/>
      <c r="M8" s="12" t="s">
        <v>42</v>
      </c>
      <c r="N8" s="12" t="s">
        <v>42</v>
      </c>
      <c r="O8" s="11" t="s">
        <v>203</v>
      </c>
      <c r="P8" s="11" t="s">
        <v>421</v>
      </c>
    </row>
    <row r="9" customFormat="false" ht="68.65" hidden="false" customHeight="false" outlineLevel="0" collapsed="false">
      <c r="A9" s="11" t="s">
        <v>409</v>
      </c>
      <c r="B9" s="11" t="s">
        <v>419</v>
      </c>
      <c r="C9" s="11" t="s">
        <v>422</v>
      </c>
      <c r="D9" s="11" t="s">
        <v>343</v>
      </c>
      <c r="E9" s="11"/>
      <c r="F9" s="11"/>
      <c r="G9" s="11" t="s">
        <v>162</v>
      </c>
      <c r="H9" s="11"/>
      <c r="I9" s="12" t="s">
        <v>42</v>
      </c>
      <c r="J9" s="11"/>
      <c r="K9" s="13" t="n">
        <v>720</v>
      </c>
      <c r="L9" s="13"/>
      <c r="M9" s="12" t="s">
        <v>42</v>
      </c>
      <c r="N9" s="12" t="s">
        <v>42</v>
      </c>
      <c r="O9" s="11" t="s">
        <v>163</v>
      </c>
      <c r="P9" s="11" t="s">
        <v>423</v>
      </c>
    </row>
    <row r="10" customFormat="false" ht="46.25" hidden="false" customHeight="false" outlineLevel="0" collapsed="false">
      <c r="A10" s="11" t="s">
        <v>409</v>
      </c>
      <c r="B10" s="11" t="s">
        <v>419</v>
      </c>
      <c r="C10" s="11" t="s">
        <v>424</v>
      </c>
      <c r="D10" s="11" t="s">
        <v>343</v>
      </c>
      <c r="E10" s="11"/>
      <c r="F10" s="11"/>
      <c r="G10" s="11" t="s">
        <v>50</v>
      </c>
      <c r="H10" s="11"/>
      <c r="I10" s="12" t="s">
        <v>42</v>
      </c>
      <c r="J10" s="11"/>
      <c r="K10" s="13" t="n">
        <v>180</v>
      </c>
      <c r="L10" s="13"/>
      <c r="M10" s="12" t="s">
        <v>42</v>
      </c>
      <c r="N10" s="12" t="s">
        <v>42</v>
      </c>
      <c r="O10" s="11" t="s">
        <v>51</v>
      </c>
      <c r="P10" s="11" t="s">
        <v>425</v>
      </c>
    </row>
    <row r="11" customFormat="false" ht="46.25" hidden="false" customHeight="false" outlineLevel="0" collapsed="false">
      <c r="A11" s="11" t="s">
        <v>409</v>
      </c>
      <c r="B11" s="11" t="s">
        <v>419</v>
      </c>
      <c r="C11" s="11" t="s">
        <v>426</v>
      </c>
      <c r="D11" s="11" t="s">
        <v>343</v>
      </c>
      <c r="E11" s="11"/>
      <c r="F11" s="11"/>
      <c r="G11" s="11" t="s">
        <v>50</v>
      </c>
      <c r="H11" s="11"/>
      <c r="I11" s="12" t="s">
        <v>42</v>
      </c>
      <c r="J11" s="11"/>
      <c r="K11" s="13" t="n">
        <v>180</v>
      </c>
      <c r="L11" s="13"/>
      <c r="M11" s="12" t="s">
        <v>42</v>
      </c>
      <c r="N11" s="12" t="s">
        <v>42</v>
      </c>
      <c r="O11" s="11" t="s">
        <v>51</v>
      </c>
      <c r="P11" s="11" t="s">
        <v>427</v>
      </c>
    </row>
    <row r="12" customFormat="false" ht="46.25" hidden="false" customHeight="false" outlineLevel="0" collapsed="false">
      <c r="A12" s="11" t="s">
        <v>409</v>
      </c>
      <c r="B12" s="11" t="s">
        <v>428</v>
      </c>
      <c r="C12" s="11" t="s">
        <v>429</v>
      </c>
      <c r="D12" s="11" t="s">
        <v>343</v>
      </c>
      <c r="E12" s="11"/>
      <c r="F12" s="11"/>
      <c r="G12" s="11" t="s">
        <v>50</v>
      </c>
      <c r="H12" s="11"/>
      <c r="I12" s="12" t="s">
        <v>42</v>
      </c>
      <c r="J12" s="11"/>
      <c r="K12" s="13" t="n">
        <v>540</v>
      </c>
      <c r="L12" s="13"/>
      <c r="M12" s="12" t="s">
        <v>42</v>
      </c>
      <c r="N12" s="12" t="s">
        <v>42</v>
      </c>
      <c r="O12" s="11" t="s">
        <v>51</v>
      </c>
      <c r="P12" s="11" t="s">
        <v>430</v>
      </c>
    </row>
    <row r="13" customFormat="false" ht="46.25" hidden="false" customHeight="false" outlineLevel="0" collapsed="false">
      <c r="A13" s="11" t="s">
        <v>409</v>
      </c>
      <c r="B13" s="11" t="s">
        <v>428</v>
      </c>
      <c r="C13" s="11" t="s">
        <v>431</v>
      </c>
      <c r="D13" s="11" t="s">
        <v>343</v>
      </c>
      <c r="E13" s="11"/>
      <c r="F13" s="11"/>
      <c r="G13" s="11" t="s">
        <v>50</v>
      </c>
      <c r="H13" s="11"/>
      <c r="I13" s="12" t="s">
        <v>42</v>
      </c>
      <c r="J13" s="11"/>
      <c r="K13" s="13" t="n">
        <v>0</v>
      </c>
      <c r="L13" s="13"/>
      <c r="M13" s="12" t="s">
        <v>42</v>
      </c>
      <c r="N13" s="12" t="s">
        <v>42</v>
      </c>
      <c r="O13" s="11" t="s">
        <v>51</v>
      </c>
      <c r="P13" s="11" t="s">
        <v>432</v>
      </c>
    </row>
    <row r="14" customFormat="false" ht="102.2" hidden="false" customHeight="false" outlineLevel="0" collapsed="false">
      <c r="A14" s="11" t="s">
        <v>409</v>
      </c>
      <c r="B14" s="11" t="s">
        <v>428</v>
      </c>
      <c r="C14" s="11" t="s">
        <v>433</v>
      </c>
      <c r="D14" s="11" t="s">
        <v>343</v>
      </c>
      <c r="E14" s="11"/>
      <c r="F14" s="11"/>
      <c r="G14" s="11" t="s">
        <v>194</v>
      </c>
      <c r="H14" s="11"/>
      <c r="I14" s="12" t="s">
        <v>42</v>
      </c>
      <c r="J14" s="11"/>
      <c r="K14" s="13" t="n">
        <v>0</v>
      </c>
      <c r="L14" s="13"/>
      <c r="M14" s="12" t="s">
        <v>42</v>
      </c>
      <c r="N14" s="12" t="s">
        <v>42</v>
      </c>
      <c r="O14" s="11" t="s">
        <v>195</v>
      </c>
      <c r="P14" s="11" t="s">
        <v>434</v>
      </c>
    </row>
    <row r="15" customFormat="false" ht="46.25" hidden="false" customHeight="false" outlineLevel="0" collapsed="false">
      <c r="A15" s="11" t="s">
        <v>409</v>
      </c>
      <c r="B15" s="11" t="s">
        <v>428</v>
      </c>
      <c r="C15" s="11" t="s">
        <v>435</v>
      </c>
      <c r="D15" s="11" t="s">
        <v>343</v>
      </c>
      <c r="E15" s="11"/>
      <c r="F15" s="11"/>
      <c r="G15" s="11" t="s">
        <v>70</v>
      </c>
      <c r="H15" s="11"/>
      <c r="I15" s="12" t="s">
        <v>42</v>
      </c>
      <c r="J15" s="11"/>
      <c r="K15" s="13" t="n">
        <v>0</v>
      </c>
      <c r="L15" s="13"/>
      <c r="M15" s="12" t="s">
        <v>42</v>
      </c>
      <c r="N15" s="12" t="s">
        <v>42</v>
      </c>
      <c r="O15" s="11"/>
      <c r="P15" s="11" t="s">
        <v>436</v>
      </c>
    </row>
    <row r="16" customFormat="false" ht="46.25" hidden="false" customHeight="false" outlineLevel="0" collapsed="false">
      <c r="A16" s="11" t="s">
        <v>409</v>
      </c>
      <c r="B16" s="11" t="s">
        <v>428</v>
      </c>
      <c r="C16" s="11" t="s">
        <v>437</v>
      </c>
      <c r="D16" s="11" t="s">
        <v>343</v>
      </c>
      <c r="E16" s="11"/>
      <c r="F16" s="11"/>
      <c r="G16" s="11" t="s">
        <v>50</v>
      </c>
      <c r="H16" s="11"/>
      <c r="I16" s="12" t="s">
        <v>42</v>
      </c>
      <c r="J16" s="11"/>
      <c r="K16" s="13" t="n">
        <v>540</v>
      </c>
      <c r="L16" s="13"/>
      <c r="M16" s="12" t="s">
        <v>42</v>
      </c>
      <c r="N16" s="12" t="s">
        <v>42</v>
      </c>
      <c r="O16" s="11" t="s">
        <v>51</v>
      </c>
      <c r="P16" s="11" t="s">
        <v>438</v>
      </c>
    </row>
    <row r="17" customFormat="false" ht="46.25" hidden="false" customHeight="false" outlineLevel="0" collapsed="false">
      <c r="A17" s="11" t="s">
        <v>409</v>
      </c>
      <c r="B17" s="11" t="s">
        <v>428</v>
      </c>
      <c r="C17" s="11" t="s">
        <v>439</v>
      </c>
      <c r="D17" s="11" t="s">
        <v>343</v>
      </c>
      <c r="E17" s="11"/>
      <c r="F17" s="11"/>
      <c r="G17" s="11" t="s">
        <v>50</v>
      </c>
      <c r="H17" s="11"/>
      <c r="I17" s="12" t="s">
        <v>42</v>
      </c>
      <c r="J17" s="11"/>
      <c r="K17" s="13" t="n">
        <v>0</v>
      </c>
      <c r="L17" s="13"/>
      <c r="M17" s="12" t="s">
        <v>42</v>
      </c>
      <c r="N17" s="12" t="s">
        <v>42</v>
      </c>
      <c r="O17" s="11" t="s">
        <v>51</v>
      </c>
      <c r="P17" s="11" t="s">
        <v>440</v>
      </c>
    </row>
    <row r="18" customFormat="false" ht="46.25" hidden="false" customHeight="false" outlineLevel="0" collapsed="false">
      <c r="A18" s="11" t="s">
        <v>409</v>
      </c>
      <c r="B18" s="11" t="s">
        <v>428</v>
      </c>
      <c r="C18" s="11" t="s">
        <v>441</v>
      </c>
      <c r="D18" s="11" t="s">
        <v>343</v>
      </c>
      <c r="E18" s="11"/>
      <c r="F18" s="11"/>
      <c r="G18" s="11" t="s">
        <v>282</v>
      </c>
      <c r="H18" s="11"/>
      <c r="I18" s="12" t="s">
        <v>42</v>
      </c>
      <c r="J18" s="11"/>
      <c r="K18" s="13" t="n">
        <v>0</v>
      </c>
      <c r="L18" s="13"/>
      <c r="M18" s="12" t="s">
        <v>42</v>
      </c>
      <c r="N18" s="12" t="s">
        <v>42</v>
      </c>
      <c r="O18" s="11"/>
      <c r="P18" s="11" t="s">
        <v>442</v>
      </c>
    </row>
    <row r="19" customFormat="false" ht="46.25" hidden="false" customHeight="false" outlineLevel="0" collapsed="false">
      <c r="A19" s="11" t="s">
        <v>409</v>
      </c>
      <c r="B19" s="11" t="s">
        <v>428</v>
      </c>
      <c r="C19" s="11" t="s">
        <v>443</v>
      </c>
      <c r="D19" s="11" t="s">
        <v>343</v>
      </c>
      <c r="E19" s="11"/>
      <c r="F19" s="11"/>
      <c r="G19" s="11" t="s">
        <v>50</v>
      </c>
      <c r="H19" s="11"/>
      <c r="I19" s="12" t="s">
        <v>42</v>
      </c>
      <c r="J19" s="11"/>
      <c r="K19" s="13" t="n">
        <v>540</v>
      </c>
      <c r="L19" s="13"/>
      <c r="M19" s="12" t="s">
        <v>42</v>
      </c>
      <c r="N19" s="12" t="s">
        <v>42</v>
      </c>
      <c r="O19" s="11" t="s">
        <v>51</v>
      </c>
      <c r="P19" s="11" t="s">
        <v>444</v>
      </c>
    </row>
    <row r="20" customFormat="false" ht="46.25" hidden="false" customHeight="false" outlineLevel="0" collapsed="false">
      <c r="A20" s="11" t="s">
        <v>409</v>
      </c>
      <c r="B20" s="11" t="s">
        <v>428</v>
      </c>
      <c r="C20" s="11" t="s">
        <v>445</v>
      </c>
      <c r="D20" s="11" t="s">
        <v>343</v>
      </c>
      <c r="E20" s="11"/>
      <c r="F20" s="11"/>
      <c r="G20" s="11" t="s">
        <v>50</v>
      </c>
      <c r="H20" s="11"/>
      <c r="I20" s="12" t="s">
        <v>42</v>
      </c>
      <c r="J20" s="11"/>
      <c r="K20" s="13" t="n">
        <v>0</v>
      </c>
      <c r="L20" s="13"/>
      <c r="M20" s="12" t="s">
        <v>42</v>
      </c>
      <c r="N20" s="12" t="s">
        <v>42</v>
      </c>
      <c r="O20" s="11" t="s">
        <v>51</v>
      </c>
      <c r="P20" s="11" t="s">
        <v>446</v>
      </c>
    </row>
    <row r="21" customFormat="false" ht="46.25" hidden="false" customHeight="false" outlineLevel="0" collapsed="false">
      <c r="A21" s="11" t="s">
        <v>409</v>
      </c>
      <c r="B21" s="11" t="s">
        <v>428</v>
      </c>
      <c r="C21" s="11" t="s">
        <v>447</v>
      </c>
      <c r="D21" s="11" t="s">
        <v>343</v>
      </c>
      <c r="E21" s="11"/>
      <c r="F21" s="11"/>
      <c r="G21" s="11" t="s">
        <v>58</v>
      </c>
      <c r="H21" s="11"/>
      <c r="I21" s="12" t="s">
        <v>42</v>
      </c>
      <c r="J21" s="11"/>
      <c r="K21" s="13" t="n">
        <v>0</v>
      </c>
      <c r="L21" s="13"/>
      <c r="M21" s="12" t="s">
        <v>42</v>
      </c>
      <c r="N21" s="12" t="s">
        <v>42</v>
      </c>
      <c r="O21" s="11" t="s">
        <v>59</v>
      </c>
      <c r="P21" s="11" t="s">
        <v>448</v>
      </c>
    </row>
    <row r="22" customFormat="false" ht="113.4" hidden="false" customHeight="false" outlineLevel="0" collapsed="false">
      <c r="A22" s="11" t="s">
        <v>409</v>
      </c>
      <c r="B22" s="11" t="s">
        <v>428</v>
      </c>
      <c r="C22" s="11" t="s">
        <v>449</v>
      </c>
      <c r="D22" s="11" t="s">
        <v>343</v>
      </c>
      <c r="E22" s="11"/>
      <c r="F22" s="11"/>
      <c r="G22" s="11" t="s">
        <v>185</v>
      </c>
      <c r="H22" s="11"/>
      <c r="I22" s="12" t="s">
        <v>42</v>
      </c>
      <c r="J22" s="11"/>
      <c r="K22" s="13" t="n">
        <v>0</v>
      </c>
      <c r="L22" s="13"/>
      <c r="M22" s="12" t="s">
        <v>42</v>
      </c>
      <c r="N22" s="12" t="s">
        <v>42</v>
      </c>
      <c r="O22" s="11" t="s">
        <v>186</v>
      </c>
      <c r="P22" s="11" t="s">
        <v>450</v>
      </c>
    </row>
    <row r="23" customFormat="false" ht="46.25" hidden="false" customHeight="false" outlineLevel="0" collapsed="false">
      <c r="A23" s="11" t="s">
        <v>409</v>
      </c>
      <c r="B23" s="11" t="s">
        <v>428</v>
      </c>
      <c r="C23" s="11" t="s">
        <v>451</v>
      </c>
      <c r="D23" s="11" t="s">
        <v>343</v>
      </c>
      <c r="E23" s="11"/>
      <c r="F23" s="11"/>
      <c r="G23" s="11" t="s">
        <v>50</v>
      </c>
      <c r="H23" s="11"/>
      <c r="I23" s="12" t="s">
        <v>42</v>
      </c>
      <c r="J23" s="11"/>
      <c r="K23" s="13" t="n">
        <v>0</v>
      </c>
      <c r="L23" s="13"/>
      <c r="M23" s="12" t="s">
        <v>42</v>
      </c>
      <c r="N23" s="12" t="s">
        <v>42</v>
      </c>
      <c r="O23" s="11" t="s">
        <v>51</v>
      </c>
      <c r="P23" s="11" t="s">
        <v>452</v>
      </c>
    </row>
    <row r="24" customFormat="false" ht="102.2" hidden="false" customHeight="false" outlineLevel="0" collapsed="false">
      <c r="A24" s="11" t="s">
        <v>409</v>
      </c>
      <c r="B24" s="11" t="s">
        <v>428</v>
      </c>
      <c r="C24" s="11" t="s">
        <v>453</v>
      </c>
      <c r="D24" s="11" t="s">
        <v>211</v>
      </c>
      <c r="E24" s="11"/>
      <c r="F24" s="11"/>
      <c r="G24" s="11" t="s">
        <v>209</v>
      </c>
      <c r="H24" s="11"/>
      <c r="I24" s="12" t="s">
        <v>42</v>
      </c>
      <c r="J24" s="11"/>
      <c r="K24" s="13" t="n">
        <v>580</v>
      </c>
      <c r="L24" s="13"/>
      <c r="M24" s="12" t="s">
        <v>42</v>
      </c>
      <c r="N24" s="12" t="s">
        <v>42</v>
      </c>
      <c r="O24" s="11"/>
      <c r="P24" s="11" t="s">
        <v>454</v>
      </c>
    </row>
    <row r="25" customFormat="false" ht="225.35" hidden="false" customHeight="false" outlineLevel="0" collapsed="false">
      <c r="A25" s="11" t="s">
        <v>409</v>
      </c>
      <c r="B25" s="11" t="s">
        <v>428</v>
      </c>
      <c r="C25" s="11" t="s">
        <v>453</v>
      </c>
      <c r="D25" s="11" t="s">
        <v>343</v>
      </c>
      <c r="E25" s="11"/>
      <c r="F25" s="11"/>
      <c r="G25" s="11" t="s">
        <v>243</v>
      </c>
      <c r="H25" s="11"/>
      <c r="I25" s="12" t="s">
        <v>42</v>
      </c>
      <c r="J25" s="11"/>
      <c r="K25" s="13" t="n">
        <v>0</v>
      </c>
      <c r="L25" s="13"/>
      <c r="M25" s="12" t="s">
        <v>42</v>
      </c>
      <c r="N25" s="12" t="s">
        <v>42</v>
      </c>
      <c r="O25" s="11" t="s">
        <v>244</v>
      </c>
      <c r="P25" s="11" t="s">
        <v>454</v>
      </c>
    </row>
    <row r="26" customFormat="false" ht="68.65" hidden="false" customHeight="false" outlineLevel="0" collapsed="false">
      <c r="A26" s="11" t="s">
        <v>409</v>
      </c>
      <c r="B26" s="11" t="s">
        <v>428</v>
      </c>
      <c r="C26" s="11" t="s">
        <v>455</v>
      </c>
      <c r="D26" s="11" t="s">
        <v>343</v>
      </c>
      <c r="E26" s="11"/>
      <c r="F26" s="11"/>
      <c r="G26" s="11" t="s">
        <v>182</v>
      </c>
      <c r="H26" s="11"/>
      <c r="I26" s="12" t="s">
        <v>42</v>
      </c>
      <c r="J26" s="11"/>
      <c r="K26" s="13" t="n">
        <v>0</v>
      </c>
      <c r="L26" s="13"/>
      <c r="M26" s="12" t="s">
        <v>42</v>
      </c>
      <c r="N26" s="12" t="s">
        <v>42</v>
      </c>
      <c r="O26" s="11" t="s">
        <v>183</v>
      </c>
      <c r="P26" s="11" t="s">
        <v>456</v>
      </c>
    </row>
    <row r="27" customFormat="false" ht="46.25" hidden="false" customHeight="false" outlineLevel="0" collapsed="false">
      <c r="A27" s="11" t="s">
        <v>409</v>
      </c>
      <c r="B27" s="11" t="s">
        <v>428</v>
      </c>
      <c r="C27" s="11" t="s">
        <v>457</v>
      </c>
      <c r="D27" s="11" t="s">
        <v>343</v>
      </c>
      <c r="E27" s="11"/>
      <c r="F27" s="11"/>
      <c r="G27" s="11" t="s">
        <v>50</v>
      </c>
      <c r="H27" s="11"/>
      <c r="I27" s="12" t="s">
        <v>42</v>
      </c>
      <c r="J27" s="11"/>
      <c r="K27" s="13" t="n">
        <v>0</v>
      </c>
      <c r="L27" s="13"/>
      <c r="M27" s="12" t="s">
        <v>42</v>
      </c>
      <c r="N27" s="12" t="s">
        <v>42</v>
      </c>
      <c r="O27" s="11" t="s">
        <v>51</v>
      </c>
      <c r="P27" s="11" t="s">
        <v>458</v>
      </c>
    </row>
    <row r="28" customFormat="false" ht="102.2" hidden="false" customHeight="false" outlineLevel="0" collapsed="false">
      <c r="A28" s="11" t="s">
        <v>409</v>
      </c>
      <c r="B28" s="11" t="s">
        <v>459</v>
      </c>
      <c r="C28" s="11" t="s">
        <v>433</v>
      </c>
      <c r="D28" s="11" t="s">
        <v>343</v>
      </c>
      <c r="E28" s="11"/>
      <c r="F28" s="11"/>
      <c r="G28" s="11" t="s">
        <v>194</v>
      </c>
      <c r="H28" s="11"/>
      <c r="I28" s="12" t="s">
        <v>42</v>
      </c>
      <c r="J28" s="11"/>
      <c r="K28" s="13"/>
      <c r="L28" s="13"/>
      <c r="M28" s="12" t="s">
        <v>42</v>
      </c>
      <c r="N28" s="12" t="s">
        <v>42</v>
      </c>
      <c r="O28" s="11" t="s">
        <v>195</v>
      </c>
      <c r="P28" s="11" t="s">
        <v>460</v>
      </c>
    </row>
    <row r="29" customFormat="false" ht="46.25" hidden="false" customHeight="false" outlineLevel="0" collapsed="false">
      <c r="A29" s="11" t="s">
        <v>409</v>
      </c>
      <c r="B29" s="11" t="s">
        <v>461</v>
      </c>
      <c r="C29" s="11" t="s">
        <v>462</v>
      </c>
      <c r="D29" s="11" t="s">
        <v>211</v>
      </c>
      <c r="E29" s="11"/>
      <c r="F29" s="11"/>
      <c r="G29" s="11" t="s">
        <v>40</v>
      </c>
      <c r="H29" s="11"/>
      <c r="I29" s="12" t="s">
        <v>42</v>
      </c>
      <c r="J29" s="11"/>
      <c r="K29" s="13" t="n">
        <v>600</v>
      </c>
      <c r="L29" s="13"/>
      <c r="M29" s="12" t="s">
        <v>42</v>
      </c>
      <c r="N29" s="12" t="s">
        <v>42</v>
      </c>
      <c r="O29" s="11"/>
      <c r="P29" s="11" t="s">
        <v>463</v>
      </c>
    </row>
    <row r="30" customFormat="false" ht="46.25" hidden="false" customHeight="false" outlineLevel="0" collapsed="false">
      <c r="A30" s="11" t="s">
        <v>409</v>
      </c>
      <c r="B30" s="11" t="s">
        <v>461</v>
      </c>
      <c r="C30" s="11" t="s">
        <v>462</v>
      </c>
      <c r="D30" s="11" t="s">
        <v>343</v>
      </c>
      <c r="E30" s="11"/>
      <c r="F30" s="11"/>
      <c r="G30" s="11" t="s">
        <v>197</v>
      </c>
      <c r="H30" s="11"/>
      <c r="I30" s="12" t="s">
        <v>42</v>
      </c>
      <c r="J30" s="11"/>
      <c r="K30" s="13" t="n">
        <v>540</v>
      </c>
      <c r="L30" s="13"/>
      <c r="M30" s="12" t="s">
        <v>42</v>
      </c>
      <c r="N30" s="12" t="s">
        <v>42</v>
      </c>
      <c r="O30" s="11" t="s">
        <v>198</v>
      </c>
      <c r="P30" s="11" t="s">
        <v>463</v>
      </c>
    </row>
    <row r="31" customFormat="false" ht="46.25" hidden="false" customHeight="false" outlineLevel="0" collapsed="false">
      <c r="A31" s="11" t="s">
        <v>409</v>
      </c>
      <c r="B31" s="11" t="s">
        <v>461</v>
      </c>
      <c r="C31" s="11" t="s">
        <v>464</v>
      </c>
      <c r="D31" s="11" t="s">
        <v>211</v>
      </c>
      <c r="E31" s="11"/>
      <c r="F31" s="11"/>
      <c r="G31" s="11" t="s">
        <v>45</v>
      </c>
      <c r="H31" s="11"/>
      <c r="I31" s="12" t="s">
        <v>42</v>
      </c>
      <c r="J31" s="11"/>
      <c r="K31" s="13" t="n">
        <v>960</v>
      </c>
      <c r="L31" s="13"/>
      <c r="M31" s="12" t="s">
        <v>42</v>
      </c>
      <c r="N31" s="12" t="s">
        <v>42</v>
      </c>
      <c r="O31" s="11"/>
      <c r="P31" s="11" t="s">
        <v>465</v>
      </c>
    </row>
    <row r="32" customFormat="false" ht="46.25" hidden="false" customHeight="false" outlineLevel="0" collapsed="false">
      <c r="A32" s="11" t="s">
        <v>409</v>
      </c>
      <c r="B32" s="11" t="s">
        <v>461</v>
      </c>
      <c r="C32" s="11" t="s">
        <v>464</v>
      </c>
      <c r="D32" s="11" t="s">
        <v>343</v>
      </c>
      <c r="E32" s="11"/>
      <c r="F32" s="11"/>
      <c r="G32" s="11" t="s">
        <v>197</v>
      </c>
      <c r="H32" s="11"/>
      <c r="I32" s="12" t="s">
        <v>42</v>
      </c>
      <c r="J32" s="11"/>
      <c r="K32" s="13" t="n">
        <v>540</v>
      </c>
      <c r="L32" s="13"/>
      <c r="M32" s="12" t="s">
        <v>42</v>
      </c>
      <c r="N32" s="12" t="s">
        <v>42</v>
      </c>
      <c r="O32" s="11" t="s">
        <v>198</v>
      </c>
      <c r="P32" s="11" t="s">
        <v>465</v>
      </c>
    </row>
    <row r="33" customFormat="false" ht="46.25" hidden="false" customHeight="false" outlineLevel="0" collapsed="false">
      <c r="A33" s="11" t="s">
        <v>409</v>
      </c>
      <c r="B33" s="11" t="s">
        <v>466</v>
      </c>
      <c r="C33" s="11" t="s">
        <v>467</v>
      </c>
      <c r="D33" s="11" t="s">
        <v>343</v>
      </c>
      <c r="E33" s="11"/>
      <c r="F33" s="11"/>
      <c r="G33" s="11" t="s">
        <v>50</v>
      </c>
      <c r="H33" s="11"/>
      <c r="I33" s="12" t="s">
        <v>42</v>
      </c>
      <c r="J33" s="11"/>
      <c r="K33" s="13" t="n">
        <v>0</v>
      </c>
      <c r="L33" s="13"/>
      <c r="M33" s="12" t="s">
        <v>42</v>
      </c>
      <c r="N33" s="12" t="s">
        <v>42</v>
      </c>
      <c r="O33" s="11" t="s">
        <v>51</v>
      </c>
      <c r="P33" s="11" t="s">
        <v>468</v>
      </c>
    </row>
    <row r="34" customFormat="false" ht="46.25" hidden="false" customHeight="false" outlineLevel="0" collapsed="false">
      <c r="A34" s="11" t="s">
        <v>409</v>
      </c>
      <c r="B34" s="11" t="s">
        <v>469</v>
      </c>
      <c r="C34" s="11" t="s">
        <v>470</v>
      </c>
      <c r="D34" s="11" t="s">
        <v>343</v>
      </c>
      <c r="E34" s="11"/>
      <c r="F34" s="11"/>
      <c r="G34" s="11" t="s">
        <v>124</v>
      </c>
      <c r="H34" s="11"/>
      <c r="I34" s="12" t="s">
        <v>42</v>
      </c>
      <c r="J34" s="11"/>
      <c r="K34" s="13" t="n">
        <v>0</v>
      </c>
      <c r="L34" s="13"/>
      <c r="M34" s="12" t="s">
        <v>42</v>
      </c>
      <c r="N34" s="12" t="s">
        <v>42</v>
      </c>
      <c r="O34" s="11" t="s">
        <v>125</v>
      </c>
      <c r="P34" s="11" t="s">
        <v>471</v>
      </c>
    </row>
    <row r="35" customFormat="false" ht="46.25" hidden="false" customHeight="false" outlineLevel="0" collapsed="false">
      <c r="A35" s="11" t="s">
        <v>409</v>
      </c>
      <c r="B35" s="11" t="s">
        <v>472</v>
      </c>
      <c r="C35" s="11" t="s">
        <v>473</v>
      </c>
      <c r="D35" s="11" t="s">
        <v>343</v>
      </c>
      <c r="E35" s="11"/>
      <c r="F35" s="11"/>
      <c r="G35" s="11" t="s">
        <v>284</v>
      </c>
      <c r="H35" s="11"/>
      <c r="I35" s="12" t="s">
        <v>42</v>
      </c>
      <c r="J35" s="11"/>
      <c r="K35" s="13" t="n">
        <v>360</v>
      </c>
      <c r="L35" s="13"/>
      <c r="M35" s="12" t="s">
        <v>42</v>
      </c>
      <c r="N35" s="12" t="s">
        <v>42</v>
      </c>
      <c r="O35" s="11"/>
      <c r="P35" s="11" t="s">
        <v>474</v>
      </c>
    </row>
    <row r="36" customFormat="false" ht="46.25" hidden="false" customHeight="false" outlineLevel="0" collapsed="false">
      <c r="A36" s="11" t="s">
        <v>409</v>
      </c>
      <c r="B36" s="11" t="s">
        <v>472</v>
      </c>
      <c r="C36" s="11" t="s">
        <v>475</v>
      </c>
      <c r="D36" s="11" t="s">
        <v>343</v>
      </c>
      <c r="E36" s="11"/>
      <c r="F36" s="11"/>
      <c r="G36" s="11" t="s">
        <v>214</v>
      </c>
      <c r="H36" s="11"/>
      <c r="I36" s="12" t="s">
        <v>42</v>
      </c>
      <c r="J36" s="11"/>
      <c r="K36" s="13" t="n">
        <v>900</v>
      </c>
      <c r="L36" s="13"/>
      <c r="M36" s="12" t="s">
        <v>42</v>
      </c>
      <c r="N36" s="12" t="s">
        <v>42</v>
      </c>
      <c r="O36" s="11"/>
      <c r="P36" s="11" t="s">
        <v>476</v>
      </c>
    </row>
    <row r="37" customFormat="false" ht="46.25" hidden="false" customHeight="false" outlineLevel="0" collapsed="false">
      <c r="A37" s="11" t="s">
        <v>409</v>
      </c>
      <c r="B37" s="11" t="s">
        <v>472</v>
      </c>
      <c r="C37" s="11" t="s">
        <v>477</v>
      </c>
      <c r="D37" s="11" t="s">
        <v>343</v>
      </c>
      <c r="E37" s="11"/>
      <c r="F37" s="11"/>
      <c r="G37" s="11" t="s">
        <v>50</v>
      </c>
      <c r="H37" s="11"/>
      <c r="I37" s="12" t="s">
        <v>42</v>
      </c>
      <c r="J37" s="11"/>
      <c r="K37" s="13" t="n">
        <v>0</v>
      </c>
      <c r="L37" s="13"/>
      <c r="M37" s="12" t="s">
        <v>42</v>
      </c>
      <c r="N37" s="12" t="s">
        <v>42</v>
      </c>
      <c r="O37" s="11" t="s">
        <v>51</v>
      </c>
      <c r="P37" s="11" t="s">
        <v>478</v>
      </c>
    </row>
    <row r="38" customFormat="false" ht="46.25" hidden="false" customHeight="false" outlineLevel="0" collapsed="false">
      <c r="A38" s="11" t="s">
        <v>409</v>
      </c>
      <c r="B38" s="11" t="s">
        <v>472</v>
      </c>
      <c r="C38" s="11" t="s">
        <v>479</v>
      </c>
      <c r="D38" s="11" t="s">
        <v>343</v>
      </c>
      <c r="E38" s="11"/>
      <c r="F38" s="11"/>
      <c r="G38" s="11" t="s">
        <v>50</v>
      </c>
      <c r="H38" s="11"/>
      <c r="I38" s="12" t="s">
        <v>42</v>
      </c>
      <c r="J38" s="11"/>
      <c r="K38" s="13" t="n">
        <v>270</v>
      </c>
      <c r="L38" s="13"/>
      <c r="M38" s="12" t="s">
        <v>42</v>
      </c>
      <c r="N38" s="12" t="s">
        <v>42</v>
      </c>
      <c r="O38" s="11" t="s">
        <v>51</v>
      </c>
      <c r="P38" s="11" t="s">
        <v>480</v>
      </c>
    </row>
    <row r="39" customFormat="false" ht="46.25" hidden="false" customHeight="false" outlineLevel="0" collapsed="false">
      <c r="A39" s="11" t="s">
        <v>409</v>
      </c>
      <c r="B39" s="11" t="s">
        <v>472</v>
      </c>
      <c r="C39" s="11" t="s">
        <v>481</v>
      </c>
      <c r="D39" s="11" t="s">
        <v>343</v>
      </c>
      <c r="E39" s="11"/>
      <c r="F39" s="11"/>
      <c r="G39" s="11" t="s">
        <v>50</v>
      </c>
      <c r="H39" s="11"/>
      <c r="I39" s="12" t="s">
        <v>42</v>
      </c>
      <c r="J39" s="11"/>
      <c r="K39" s="13" t="n">
        <v>540</v>
      </c>
      <c r="L39" s="13"/>
      <c r="M39" s="12" t="s">
        <v>42</v>
      </c>
      <c r="N39" s="12" t="s">
        <v>42</v>
      </c>
      <c r="O39" s="11" t="s">
        <v>51</v>
      </c>
      <c r="P39" s="11" t="s">
        <v>482</v>
      </c>
    </row>
    <row r="40" customFormat="false" ht="46.25" hidden="false" customHeight="false" outlineLevel="0" collapsed="false">
      <c r="A40" s="11" t="s">
        <v>409</v>
      </c>
      <c r="B40" s="11" t="s">
        <v>483</v>
      </c>
      <c r="C40" s="11" t="s">
        <v>484</v>
      </c>
      <c r="D40" s="11" t="s">
        <v>343</v>
      </c>
      <c r="E40" s="11"/>
      <c r="F40" s="11"/>
      <c r="G40" s="11" t="s">
        <v>50</v>
      </c>
      <c r="H40" s="11"/>
      <c r="I40" s="12" t="s">
        <v>42</v>
      </c>
      <c r="J40" s="11"/>
      <c r="K40" s="13" t="n">
        <v>270</v>
      </c>
      <c r="L40" s="13"/>
      <c r="M40" s="12" t="s">
        <v>42</v>
      </c>
      <c r="N40" s="12" t="s">
        <v>42</v>
      </c>
      <c r="O40" s="11" t="s">
        <v>51</v>
      </c>
      <c r="P40" s="11" t="s">
        <v>485</v>
      </c>
    </row>
    <row r="41" customFormat="false" ht="46.25" hidden="false" customHeight="false" outlineLevel="0" collapsed="false">
      <c r="A41" s="11" t="s">
        <v>409</v>
      </c>
      <c r="B41" s="11" t="s">
        <v>486</v>
      </c>
      <c r="C41" s="11" t="s">
        <v>487</v>
      </c>
      <c r="D41" s="11" t="s">
        <v>343</v>
      </c>
      <c r="E41" s="11"/>
      <c r="F41" s="11"/>
      <c r="G41" s="11" t="s">
        <v>96</v>
      </c>
      <c r="H41" s="11"/>
      <c r="I41" s="12" t="s">
        <v>42</v>
      </c>
      <c r="J41" s="11"/>
      <c r="K41" s="13" t="n">
        <v>0</v>
      </c>
      <c r="L41" s="13"/>
      <c r="M41" s="12" t="s">
        <v>42</v>
      </c>
      <c r="N41" s="12" t="s">
        <v>42</v>
      </c>
      <c r="O41" s="11"/>
      <c r="P41" s="11" t="s">
        <v>488</v>
      </c>
    </row>
    <row r="42" customFormat="false" ht="46.25" hidden="false" customHeight="false" outlineLevel="0" collapsed="false">
      <c r="A42" s="11" t="s">
        <v>409</v>
      </c>
      <c r="B42" s="11" t="s">
        <v>486</v>
      </c>
      <c r="C42" s="11" t="s">
        <v>489</v>
      </c>
      <c r="D42" s="11" t="s">
        <v>343</v>
      </c>
      <c r="E42" s="11"/>
      <c r="F42" s="11"/>
      <c r="G42" s="11" t="s">
        <v>127</v>
      </c>
      <c r="H42" s="11"/>
      <c r="I42" s="12" t="s">
        <v>42</v>
      </c>
      <c r="J42" s="11"/>
      <c r="K42" s="13" t="n">
        <v>0</v>
      </c>
      <c r="L42" s="13"/>
      <c r="M42" s="12" t="s">
        <v>42</v>
      </c>
      <c r="N42" s="12" t="s">
        <v>42</v>
      </c>
      <c r="O42" s="11"/>
      <c r="P42" s="11" t="s">
        <v>490</v>
      </c>
    </row>
    <row r="43" customFormat="false" ht="46.25" hidden="false" customHeight="false" outlineLevel="0" collapsed="false">
      <c r="A43" s="11" t="s">
        <v>409</v>
      </c>
      <c r="B43" s="11" t="s">
        <v>486</v>
      </c>
      <c r="C43" s="11" t="s">
        <v>491</v>
      </c>
      <c r="D43" s="11" t="s">
        <v>211</v>
      </c>
      <c r="E43" s="11"/>
      <c r="F43" s="11"/>
      <c r="G43" s="11" t="s">
        <v>68</v>
      </c>
      <c r="H43" s="11"/>
      <c r="I43" s="12" t="s">
        <v>42</v>
      </c>
      <c r="J43" s="11"/>
      <c r="K43" s="13" t="n">
        <v>460</v>
      </c>
      <c r="L43" s="13"/>
      <c r="M43" s="12" t="s">
        <v>42</v>
      </c>
      <c r="N43" s="12" t="s">
        <v>42</v>
      </c>
      <c r="O43" s="11"/>
      <c r="P43" s="11" t="s">
        <v>492</v>
      </c>
    </row>
    <row r="44" customFormat="false" ht="46.25" hidden="false" customHeight="false" outlineLevel="0" collapsed="false">
      <c r="A44" s="11" t="s">
        <v>409</v>
      </c>
      <c r="B44" s="11" t="s">
        <v>486</v>
      </c>
      <c r="C44" s="11" t="s">
        <v>491</v>
      </c>
      <c r="D44" s="11" t="s">
        <v>343</v>
      </c>
      <c r="E44" s="11"/>
      <c r="F44" s="11"/>
      <c r="G44" s="11" t="s">
        <v>276</v>
      </c>
      <c r="H44" s="11"/>
      <c r="I44" s="12" t="s">
        <v>42</v>
      </c>
      <c r="J44" s="11"/>
      <c r="K44" s="13" t="n">
        <v>0</v>
      </c>
      <c r="L44" s="13"/>
      <c r="M44" s="12" t="s">
        <v>42</v>
      </c>
      <c r="N44" s="12" t="s">
        <v>42</v>
      </c>
      <c r="O44" s="11" t="s">
        <v>227</v>
      </c>
      <c r="P44" s="11" t="s">
        <v>492</v>
      </c>
    </row>
    <row r="45" customFormat="false" ht="46.25" hidden="false" customHeight="false" outlineLevel="0" collapsed="false">
      <c r="A45" s="11" t="s">
        <v>409</v>
      </c>
      <c r="B45" s="11" t="s">
        <v>486</v>
      </c>
      <c r="C45" s="11" t="s">
        <v>493</v>
      </c>
      <c r="D45" s="11" t="s">
        <v>343</v>
      </c>
      <c r="E45" s="11"/>
      <c r="F45" s="11"/>
      <c r="G45" s="11" t="s">
        <v>200</v>
      </c>
      <c r="H45" s="11"/>
      <c r="I45" s="12" t="s">
        <v>42</v>
      </c>
      <c r="J45" s="11"/>
      <c r="K45" s="13" t="n">
        <v>0</v>
      </c>
      <c r="L45" s="13"/>
      <c r="M45" s="12" t="s">
        <v>42</v>
      </c>
      <c r="N45" s="12" t="s">
        <v>42</v>
      </c>
      <c r="O45" s="11"/>
      <c r="P45" s="11" t="s">
        <v>494</v>
      </c>
    </row>
    <row r="46" customFormat="false" ht="46.25" hidden="false" customHeight="false" outlineLevel="0" collapsed="false">
      <c r="A46" s="11" t="s">
        <v>409</v>
      </c>
      <c r="B46" s="11" t="s">
        <v>486</v>
      </c>
      <c r="C46" s="11" t="s">
        <v>495</v>
      </c>
      <c r="D46" s="11" t="s">
        <v>343</v>
      </c>
      <c r="E46" s="11"/>
      <c r="F46" s="11"/>
      <c r="G46" s="11" t="s">
        <v>252</v>
      </c>
      <c r="H46" s="11"/>
      <c r="I46" s="12" t="s">
        <v>42</v>
      </c>
      <c r="J46" s="11"/>
      <c r="K46" s="13" t="n">
        <v>0</v>
      </c>
      <c r="L46" s="13"/>
      <c r="M46" s="12" t="s">
        <v>42</v>
      </c>
      <c r="N46" s="12" t="s">
        <v>42</v>
      </c>
      <c r="O46" s="11" t="s">
        <v>227</v>
      </c>
      <c r="P46" s="11" t="s">
        <v>496</v>
      </c>
    </row>
    <row r="47" customFormat="false" ht="191.75" hidden="false" customHeight="false" outlineLevel="0" collapsed="false">
      <c r="A47" s="11" t="s">
        <v>409</v>
      </c>
      <c r="B47" s="11" t="s">
        <v>486</v>
      </c>
      <c r="C47" s="11" t="s">
        <v>497</v>
      </c>
      <c r="D47" s="11" t="s">
        <v>343</v>
      </c>
      <c r="E47" s="11"/>
      <c r="F47" s="11"/>
      <c r="G47" s="11" t="s">
        <v>246</v>
      </c>
      <c r="H47" s="11"/>
      <c r="I47" s="12" t="s">
        <v>42</v>
      </c>
      <c r="J47" s="11"/>
      <c r="K47" s="13" t="n">
        <v>0</v>
      </c>
      <c r="L47" s="13"/>
      <c r="M47" s="12" t="s">
        <v>42</v>
      </c>
      <c r="N47" s="12" t="s">
        <v>42</v>
      </c>
      <c r="O47" s="11" t="s">
        <v>227</v>
      </c>
      <c r="P47" s="11" t="s">
        <v>498</v>
      </c>
    </row>
    <row r="48" customFormat="false" ht="46.25" hidden="false" customHeight="false" outlineLevel="0" collapsed="false">
      <c r="A48" s="11" t="s">
        <v>409</v>
      </c>
      <c r="B48" s="11" t="s">
        <v>486</v>
      </c>
      <c r="C48" s="11" t="s">
        <v>499</v>
      </c>
      <c r="D48" s="11" t="s">
        <v>343</v>
      </c>
      <c r="E48" s="11"/>
      <c r="F48" s="11"/>
      <c r="G48" s="11" t="s">
        <v>100</v>
      </c>
      <c r="H48" s="11"/>
      <c r="I48" s="12" t="s">
        <v>42</v>
      </c>
      <c r="J48" s="11"/>
      <c r="K48" s="13" t="n">
        <v>0</v>
      </c>
      <c r="L48" s="13"/>
      <c r="M48" s="12" t="s">
        <v>42</v>
      </c>
      <c r="N48" s="12" t="s">
        <v>42</v>
      </c>
      <c r="O48" s="11"/>
      <c r="P48" s="11" t="s">
        <v>500</v>
      </c>
    </row>
    <row r="49" customFormat="false" ht="46.25" hidden="false" customHeight="false" outlineLevel="0" collapsed="false">
      <c r="A49" s="11" t="s">
        <v>409</v>
      </c>
      <c r="B49" s="11" t="s">
        <v>486</v>
      </c>
      <c r="C49" s="11" t="s">
        <v>501</v>
      </c>
      <c r="D49" s="11" t="s">
        <v>343</v>
      </c>
      <c r="E49" s="11"/>
      <c r="F49" s="11"/>
      <c r="G49" s="11" t="s">
        <v>235</v>
      </c>
      <c r="H49" s="11"/>
      <c r="I49" s="12" t="s">
        <v>42</v>
      </c>
      <c r="J49" s="11"/>
      <c r="K49" s="13" t="n">
        <v>0</v>
      </c>
      <c r="L49" s="13"/>
      <c r="M49" s="12" t="s">
        <v>42</v>
      </c>
      <c r="N49" s="12" t="s">
        <v>42</v>
      </c>
      <c r="O49" s="11" t="s">
        <v>227</v>
      </c>
      <c r="P49" s="11" t="s">
        <v>502</v>
      </c>
    </row>
    <row r="50" customFormat="false" ht="46.25" hidden="false" customHeight="false" outlineLevel="0" collapsed="false">
      <c r="A50" s="11" t="s">
        <v>409</v>
      </c>
      <c r="B50" s="11" t="s">
        <v>486</v>
      </c>
      <c r="C50" s="11" t="s">
        <v>503</v>
      </c>
      <c r="D50" s="11" t="s">
        <v>343</v>
      </c>
      <c r="E50" s="11"/>
      <c r="F50" s="11"/>
      <c r="G50" s="11" t="s">
        <v>256</v>
      </c>
      <c r="H50" s="11"/>
      <c r="I50" s="12" t="s">
        <v>42</v>
      </c>
      <c r="J50" s="11"/>
      <c r="K50" s="13" t="n">
        <v>0</v>
      </c>
      <c r="L50" s="13"/>
      <c r="M50" s="12" t="s">
        <v>42</v>
      </c>
      <c r="N50" s="12" t="s">
        <v>42</v>
      </c>
      <c r="O50" s="11" t="s">
        <v>227</v>
      </c>
      <c r="P50" s="11" t="s">
        <v>504</v>
      </c>
    </row>
    <row r="51" customFormat="false" ht="46.25" hidden="false" customHeight="false" outlineLevel="0" collapsed="false">
      <c r="A51" s="11" t="s">
        <v>409</v>
      </c>
      <c r="B51" s="11" t="s">
        <v>486</v>
      </c>
      <c r="C51" s="11" t="s">
        <v>505</v>
      </c>
      <c r="D51" s="11" t="s">
        <v>343</v>
      </c>
      <c r="E51" s="11"/>
      <c r="F51" s="11"/>
      <c r="G51" s="11" t="s">
        <v>155</v>
      </c>
      <c r="H51" s="11"/>
      <c r="I51" s="12" t="s">
        <v>42</v>
      </c>
      <c r="J51" s="11"/>
      <c r="K51" s="13" t="n">
        <v>0</v>
      </c>
      <c r="L51" s="13"/>
      <c r="M51" s="12" t="s">
        <v>42</v>
      </c>
      <c r="N51" s="12" t="s">
        <v>42</v>
      </c>
      <c r="O51" s="11"/>
      <c r="P51" s="11" t="s">
        <v>506</v>
      </c>
    </row>
    <row r="52" customFormat="false" ht="46.25" hidden="false" customHeight="false" outlineLevel="0" collapsed="false">
      <c r="A52" s="11" t="s">
        <v>409</v>
      </c>
      <c r="B52" s="11" t="s">
        <v>486</v>
      </c>
      <c r="C52" s="11" t="s">
        <v>507</v>
      </c>
      <c r="D52" s="11" t="s">
        <v>343</v>
      </c>
      <c r="E52" s="11"/>
      <c r="F52" s="11"/>
      <c r="G52" s="11" t="s">
        <v>293</v>
      </c>
      <c r="H52" s="11"/>
      <c r="I52" s="12" t="s">
        <v>42</v>
      </c>
      <c r="J52" s="11"/>
      <c r="K52" s="13" t="n">
        <v>0</v>
      </c>
      <c r="L52" s="13"/>
      <c r="M52" s="12" t="s">
        <v>42</v>
      </c>
      <c r="N52" s="12" t="s">
        <v>42</v>
      </c>
      <c r="O52" s="11"/>
      <c r="P52" s="11" t="s">
        <v>508</v>
      </c>
    </row>
    <row r="53" customFormat="false" ht="46.25" hidden="false" customHeight="false" outlineLevel="0" collapsed="false">
      <c r="A53" s="11" t="s">
        <v>409</v>
      </c>
      <c r="B53" s="11" t="s">
        <v>509</v>
      </c>
      <c r="C53" s="11" t="s">
        <v>509</v>
      </c>
      <c r="D53" s="11" t="s">
        <v>211</v>
      </c>
      <c r="E53" s="11"/>
      <c r="F53" s="11"/>
      <c r="G53" s="11" t="s">
        <v>77</v>
      </c>
      <c r="H53" s="11"/>
      <c r="I53" s="12" t="s">
        <v>42</v>
      </c>
      <c r="J53" s="11"/>
      <c r="K53" s="13" t="n">
        <v>820</v>
      </c>
      <c r="L53" s="13"/>
      <c r="M53" s="12" t="s">
        <v>42</v>
      </c>
      <c r="N53" s="12" t="s">
        <v>42</v>
      </c>
      <c r="O53" s="11" t="s">
        <v>78</v>
      </c>
      <c r="P53" s="11" t="s">
        <v>510</v>
      </c>
    </row>
    <row r="54" customFormat="false" ht="46.25" hidden="false" customHeight="false" outlineLevel="0" collapsed="false">
      <c r="A54" s="11" t="s">
        <v>409</v>
      </c>
      <c r="B54" s="11" t="s">
        <v>509</v>
      </c>
      <c r="C54" s="11" t="s">
        <v>509</v>
      </c>
      <c r="D54" s="11" t="s">
        <v>511</v>
      </c>
      <c r="E54" s="11"/>
      <c r="F54" s="11"/>
      <c r="G54" s="11" t="s">
        <v>260</v>
      </c>
      <c r="H54" s="11"/>
      <c r="I54" s="12" t="s">
        <v>42</v>
      </c>
      <c r="J54" s="11"/>
      <c r="K54" s="13" t="n">
        <v>2420</v>
      </c>
      <c r="L54" s="13"/>
      <c r="M54" s="12" t="s">
        <v>42</v>
      </c>
      <c r="N54" s="12" t="s">
        <v>42</v>
      </c>
      <c r="O54" s="11"/>
      <c r="P54" s="11" t="s">
        <v>510</v>
      </c>
    </row>
    <row r="55" customFormat="false" ht="46.25" hidden="false" customHeight="false" outlineLevel="0" collapsed="false">
      <c r="A55" s="11" t="s">
        <v>409</v>
      </c>
      <c r="B55" s="11" t="s">
        <v>509</v>
      </c>
      <c r="C55" s="11" t="s">
        <v>509</v>
      </c>
      <c r="D55" s="11" t="s">
        <v>343</v>
      </c>
      <c r="E55" s="11"/>
      <c r="F55" s="11"/>
      <c r="G55" s="11" t="s">
        <v>124</v>
      </c>
      <c r="H55" s="11"/>
      <c r="I55" s="12" t="s">
        <v>42</v>
      </c>
      <c r="J55" s="11"/>
      <c r="K55" s="13" t="n">
        <v>1450</v>
      </c>
      <c r="L55" s="13"/>
      <c r="M55" s="12" t="s">
        <v>42</v>
      </c>
      <c r="N55" s="12" t="s">
        <v>42</v>
      </c>
      <c r="O55" s="11" t="s">
        <v>125</v>
      </c>
      <c r="P55" s="11" t="s">
        <v>510</v>
      </c>
    </row>
    <row r="56" customFormat="false" ht="46.25" hidden="false" customHeight="false" outlineLevel="0" collapsed="false">
      <c r="A56" s="11" t="s">
        <v>409</v>
      </c>
      <c r="B56" s="11" t="s">
        <v>512</v>
      </c>
      <c r="C56" s="11" t="s">
        <v>513</v>
      </c>
      <c r="D56" s="11" t="s">
        <v>343</v>
      </c>
      <c r="E56" s="11"/>
      <c r="F56" s="11"/>
      <c r="G56" s="11" t="s">
        <v>50</v>
      </c>
      <c r="H56" s="11"/>
      <c r="I56" s="12" t="s">
        <v>42</v>
      </c>
      <c r="J56" s="11"/>
      <c r="K56" s="13" t="n">
        <v>720</v>
      </c>
      <c r="L56" s="13"/>
      <c r="M56" s="12" t="s">
        <v>42</v>
      </c>
      <c r="N56" s="12" t="s">
        <v>42</v>
      </c>
      <c r="O56" s="11" t="s">
        <v>51</v>
      </c>
      <c r="P56" s="11" t="s">
        <v>514</v>
      </c>
    </row>
    <row r="57" customFormat="false" ht="46.25" hidden="false" customHeight="false" outlineLevel="0" collapsed="false">
      <c r="A57" s="11" t="s">
        <v>409</v>
      </c>
      <c r="B57" s="11" t="s">
        <v>515</v>
      </c>
      <c r="C57" s="11" t="s">
        <v>516</v>
      </c>
      <c r="D57" s="11" t="s">
        <v>343</v>
      </c>
      <c r="E57" s="11"/>
      <c r="F57" s="11"/>
      <c r="G57" s="11" t="s">
        <v>177</v>
      </c>
      <c r="H57" s="11"/>
      <c r="I57" s="12" t="s">
        <v>42</v>
      </c>
      <c r="J57" s="11"/>
      <c r="K57" s="13" t="n">
        <v>900</v>
      </c>
      <c r="L57" s="13"/>
      <c r="M57" s="12" t="s">
        <v>42</v>
      </c>
      <c r="N57" s="12" t="s">
        <v>42</v>
      </c>
      <c r="O57" s="11"/>
      <c r="P57" s="11" t="s">
        <v>517</v>
      </c>
    </row>
    <row r="58" customFormat="false" ht="46.25" hidden="false" customHeight="false" outlineLevel="0" collapsed="false">
      <c r="A58" s="11" t="s">
        <v>409</v>
      </c>
      <c r="B58" s="11" t="s">
        <v>515</v>
      </c>
      <c r="C58" s="11" t="s">
        <v>518</v>
      </c>
      <c r="D58" s="11" t="s">
        <v>343</v>
      </c>
      <c r="E58" s="11"/>
      <c r="F58" s="11"/>
      <c r="G58" s="11" t="s">
        <v>50</v>
      </c>
      <c r="H58" s="11"/>
      <c r="I58" s="12" t="s">
        <v>42</v>
      </c>
      <c r="J58" s="11"/>
      <c r="K58" s="13" t="n">
        <v>540</v>
      </c>
      <c r="L58" s="13"/>
      <c r="M58" s="12" t="s">
        <v>42</v>
      </c>
      <c r="N58" s="12" t="s">
        <v>42</v>
      </c>
      <c r="O58" s="11" t="s">
        <v>51</v>
      </c>
      <c r="P58" s="11" t="s">
        <v>519</v>
      </c>
    </row>
    <row r="59" customFormat="false" ht="46.25" hidden="false" customHeight="false" outlineLevel="0" collapsed="false">
      <c r="A59" s="11" t="s">
        <v>409</v>
      </c>
      <c r="B59" s="11" t="s">
        <v>515</v>
      </c>
      <c r="C59" s="11" t="s">
        <v>520</v>
      </c>
      <c r="D59" s="11" t="s">
        <v>343</v>
      </c>
      <c r="E59" s="11"/>
      <c r="F59" s="11"/>
      <c r="G59" s="11" t="s">
        <v>50</v>
      </c>
      <c r="H59" s="11"/>
      <c r="I59" s="12" t="s">
        <v>42</v>
      </c>
      <c r="J59" s="11"/>
      <c r="K59" s="13" t="n">
        <v>540</v>
      </c>
      <c r="L59" s="13"/>
      <c r="M59" s="12" t="s">
        <v>42</v>
      </c>
      <c r="N59" s="12" t="s">
        <v>42</v>
      </c>
      <c r="O59" s="11" t="s">
        <v>51</v>
      </c>
      <c r="P59" s="11" t="s">
        <v>521</v>
      </c>
    </row>
    <row r="60" customFormat="false" ht="46.25" hidden="false" customHeight="false" outlineLevel="0" collapsed="false">
      <c r="A60" s="11" t="s">
        <v>409</v>
      </c>
      <c r="B60" s="11" t="s">
        <v>515</v>
      </c>
      <c r="C60" s="11" t="s">
        <v>522</v>
      </c>
      <c r="D60" s="11" t="s">
        <v>343</v>
      </c>
      <c r="E60" s="11"/>
      <c r="F60" s="11"/>
      <c r="G60" s="11" t="s">
        <v>50</v>
      </c>
      <c r="H60" s="11"/>
      <c r="I60" s="12" t="s">
        <v>42</v>
      </c>
      <c r="J60" s="11"/>
      <c r="K60" s="13" t="n">
        <v>0</v>
      </c>
      <c r="L60" s="13"/>
      <c r="M60" s="12" t="s">
        <v>42</v>
      </c>
      <c r="N60" s="12" t="s">
        <v>42</v>
      </c>
      <c r="O60" s="11" t="s">
        <v>51</v>
      </c>
      <c r="P60" s="11" t="s">
        <v>523</v>
      </c>
    </row>
    <row r="61" customFormat="false" ht="113.4" hidden="false" customHeight="false" outlineLevel="0" collapsed="false">
      <c r="A61" s="11" t="s">
        <v>409</v>
      </c>
      <c r="B61" s="11" t="s">
        <v>524</v>
      </c>
      <c r="C61" s="11" t="s">
        <v>525</v>
      </c>
      <c r="D61" s="11" t="s">
        <v>343</v>
      </c>
      <c r="E61" s="11"/>
      <c r="F61" s="11"/>
      <c r="G61" s="11" t="s">
        <v>191</v>
      </c>
      <c r="H61" s="11"/>
      <c r="I61" s="12" t="s">
        <v>42</v>
      </c>
      <c r="J61" s="11"/>
      <c r="K61" s="13" t="n">
        <v>1080</v>
      </c>
      <c r="L61" s="13"/>
      <c r="M61" s="12" t="s">
        <v>42</v>
      </c>
      <c r="N61" s="12" t="s">
        <v>42</v>
      </c>
      <c r="O61" s="11" t="s">
        <v>192</v>
      </c>
      <c r="P61" s="11" t="s">
        <v>526</v>
      </c>
    </row>
    <row r="62" customFormat="false" ht="46.25" hidden="false" customHeight="false" outlineLevel="0" collapsed="false">
      <c r="A62" s="11" t="s">
        <v>409</v>
      </c>
      <c r="B62" s="11" t="s">
        <v>524</v>
      </c>
      <c r="C62" s="11" t="s">
        <v>527</v>
      </c>
      <c r="D62" s="11" t="s">
        <v>343</v>
      </c>
      <c r="E62" s="11"/>
      <c r="F62" s="11"/>
      <c r="G62" s="11" t="s">
        <v>50</v>
      </c>
      <c r="H62" s="11"/>
      <c r="I62" s="12" t="s">
        <v>42</v>
      </c>
      <c r="J62" s="11"/>
      <c r="K62" s="13" t="n">
        <v>540</v>
      </c>
      <c r="L62" s="13"/>
      <c r="M62" s="12" t="s">
        <v>42</v>
      </c>
      <c r="N62" s="12" t="s">
        <v>42</v>
      </c>
      <c r="O62" s="11" t="s">
        <v>51</v>
      </c>
      <c r="P62" s="11" t="s">
        <v>528</v>
      </c>
    </row>
    <row r="63" customFormat="false" ht="46.25" hidden="false" customHeight="false" outlineLevel="0" collapsed="false">
      <c r="A63" s="11" t="s">
        <v>409</v>
      </c>
      <c r="B63" s="11" t="s">
        <v>529</v>
      </c>
      <c r="C63" s="11" t="s">
        <v>530</v>
      </c>
      <c r="D63" s="11" t="s">
        <v>343</v>
      </c>
      <c r="E63" s="11"/>
      <c r="F63" s="11"/>
      <c r="G63" s="11" t="s">
        <v>50</v>
      </c>
      <c r="H63" s="11"/>
      <c r="I63" s="12" t="s">
        <v>42</v>
      </c>
      <c r="J63" s="11"/>
      <c r="K63" s="13" t="n">
        <v>0</v>
      </c>
      <c r="L63" s="13"/>
      <c r="M63" s="12" t="s">
        <v>42</v>
      </c>
      <c r="N63" s="12" t="s">
        <v>42</v>
      </c>
      <c r="O63" s="11" t="s">
        <v>51</v>
      </c>
      <c r="P63" s="11" t="s">
        <v>531</v>
      </c>
    </row>
    <row r="64" customFormat="false" ht="46.25" hidden="false" customHeight="false" outlineLevel="0" collapsed="false">
      <c r="A64" s="11" t="s">
        <v>409</v>
      </c>
      <c r="B64" s="11" t="s">
        <v>532</v>
      </c>
      <c r="C64" s="11" t="s">
        <v>533</v>
      </c>
      <c r="D64" s="11" t="s">
        <v>343</v>
      </c>
      <c r="E64" s="11"/>
      <c r="F64" s="11"/>
      <c r="G64" s="11" t="s">
        <v>94</v>
      </c>
      <c r="H64" s="11"/>
      <c r="I64" s="12" t="s">
        <v>42</v>
      </c>
      <c r="J64" s="11"/>
      <c r="K64" s="13" t="n">
        <v>0</v>
      </c>
      <c r="L64" s="13"/>
      <c r="M64" s="12" t="s">
        <v>42</v>
      </c>
      <c r="N64" s="12" t="s">
        <v>42</v>
      </c>
      <c r="O64" s="11"/>
      <c r="P64" s="11" t="s">
        <v>534</v>
      </c>
    </row>
    <row r="65" customFormat="false" ht="46.25" hidden="false" customHeight="false" outlineLevel="0" collapsed="false">
      <c r="A65" s="11" t="s">
        <v>409</v>
      </c>
      <c r="B65" s="11" t="s">
        <v>532</v>
      </c>
      <c r="C65" s="11" t="s">
        <v>535</v>
      </c>
      <c r="D65" s="11" t="s">
        <v>343</v>
      </c>
      <c r="E65" s="11"/>
      <c r="F65" s="11"/>
      <c r="G65" s="11" t="s">
        <v>169</v>
      </c>
      <c r="H65" s="11"/>
      <c r="I65" s="12" t="s">
        <v>42</v>
      </c>
      <c r="J65" s="11"/>
      <c r="K65" s="13" t="n">
        <v>0</v>
      </c>
      <c r="L65" s="13"/>
      <c r="M65" s="12" t="s">
        <v>42</v>
      </c>
      <c r="N65" s="12" t="s">
        <v>42</v>
      </c>
      <c r="O65" s="11"/>
      <c r="P65" s="11" t="s">
        <v>536</v>
      </c>
    </row>
    <row r="66" customFormat="false" ht="35.05" hidden="false" customHeight="false" outlineLevel="0" collapsed="false">
      <c r="A66" s="11" t="s">
        <v>409</v>
      </c>
      <c r="B66" s="11" t="s">
        <v>532</v>
      </c>
      <c r="C66" s="11" t="s">
        <v>537</v>
      </c>
      <c r="D66" s="11" t="s">
        <v>343</v>
      </c>
      <c r="E66" s="11"/>
      <c r="F66" s="11"/>
      <c r="G66" s="11" t="s">
        <v>278</v>
      </c>
      <c r="H66" s="11"/>
      <c r="I66" s="12" t="s">
        <v>42</v>
      </c>
      <c r="J66" s="11"/>
      <c r="K66" s="13" t="n">
        <v>0</v>
      </c>
      <c r="L66" s="13"/>
      <c r="M66" s="12" t="s">
        <v>42</v>
      </c>
      <c r="N66" s="12" t="s">
        <v>42</v>
      </c>
      <c r="O66" s="11"/>
      <c r="P66" s="11" t="s">
        <v>538</v>
      </c>
    </row>
    <row r="67" customFormat="false" ht="46.25" hidden="false" customHeight="false" outlineLevel="0" collapsed="false">
      <c r="A67" s="11" t="s">
        <v>409</v>
      </c>
      <c r="B67" s="11" t="s">
        <v>532</v>
      </c>
      <c r="C67" s="11" t="s">
        <v>539</v>
      </c>
      <c r="D67" s="11" t="s">
        <v>211</v>
      </c>
      <c r="E67" s="11"/>
      <c r="F67" s="11"/>
      <c r="G67" s="11" t="s">
        <v>82</v>
      </c>
      <c r="H67" s="11"/>
      <c r="I67" s="12" t="s">
        <v>42</v>
      </c>
      <c r="J67" s="11"/>
      <c r="K67" s="13" t="n">
        <v>960</v>
      </c>
      <c r="L67" s="13"/>
      <c r="M67" s="12" t="s">
        <v>42</v>
      </c>
      <c r="N67" s="12" t="s">
        <v>42</v>
      </c>
      <c r="O67" s="11"/>
      <c r="P67" s="11" t="s">
        <v>540</v>
      </c>
    </row>
    <row r="68" customFormat="false" ht="46.25" hidden="false" customHeight="false" outlineLevel="0" collapsed="false">
      <c r="A68" s="11" t="s">
        <v>409</v>
      </c>
      <c r="B68" s="11" t="s">
        <v>532</v>
      </c>
      <c r="C68" s="11" t="s">
        <v>539</v>
      </c>
      <c r="D68" s="11" t="s">
        <v>343</v>
      </c>
      <c r="E68" s="11"/>
      <c r="F68" s="11"/>
      <c r="G68" s="11" t="s">
        <v>220</v>
      </c>
      <c r="H68" s="11"/>
      <c r="I68" s="12" t="s">
        <v>42</v>
      </c>
      <c r="J68" s="11"/>
      <c r="K68" s="13" t="n">
        <v>0</v>
      </c>
      <c r="L68" s="13"/>
      <c r="M68" s="12" t="s">
        <v>42</v>
      </c>
      <c r="N68" s="12" t="s">
        <v>42</v>
      </c>
      <c r="O68" s="11"/>
      <c r="P68" s="11" t="s">
        <v>540</v>
      </c>
    </row>
    <row r="69" customFormat="false" ht="46.25" hidden="false" customHeight="false" outlineLevel="0" collapsed="false">
      <c r="A69" s="11" t="s">
        <v>409</v>
      </c>
      <c r="B69" s="11" t="s">
        <v>541</v>
      </c>
      <c r="C69" s="11" t="s">
        <v>542</v>
      </c>
      <c r="D69" s="11" t="s">
        <v>343</v>
      </c>
      <c r="E69" s="11"/>
      <c r="F69" s="11"/>
      <c r="G69" s="11" t="s">
        <v>165</v>
      </c>
      <c r="H69" s="11"/>
      <c r="I69" s="12" t="s">
        <v>42</v>
      </c>
      <c r="J69" s="11"/>
      <c r="K69" s="13" t="n">
        <v>900</v>
      </c>
      <c r="L69" s="13"/>
      <c r="M69" s="12" t="s">
        <v>42</v>
      </c>
      <c r="N69" s="12" t="s">
        <v>42</v>
      </c>
      <c r="O69" s="11"/>
      <c r="P69" s="11" t="s">
        <v>543</v>
      </c>
    </row>
    <row r="70" customFormat="false" ht="68.65" hidden="false" customHeight="false" outlineLevel="0" collapsed="false">
      <c r="A70" s="11" t="s">
        <v>409</v>
      </c>
      <c r="B70" s="11" t="s">
        <v>541</v>
      </c>
      <c r="C70" s="11" t="s">
        <v>544</v>
      </c>
      <c r="D70" s="11" t="s">
        <v>343</v>
      </c>
      <c r="E70" s="11"/>
      <c r="F70" s="11"/>
      <c r="G70" s="11" t="s">
        <v>182</v>
      </c>
      <c r="H70" s="11"/>
      <c r="I70" s="12" t="s">
        <v>42</v>
      </c>
      <c r="J70" s="11"/>
      <c r="K70" s="13" t="n">
        <v>1450</v>
      </c>
      <c r="L70" s="13"/>
      <c r="M70" s="12" t="s">
        <v>42</v>
      </c>
      <c r="N70" s="12" t="s">
        <v>42</v>
      </c>
      <c r="O70" s="11" t="s">
        <v>183</v>
      </c>
      <c r="P70" s="11" t="s">
        <v>545</v>
      </c>
    </row>
    <row r="71" customFormat="false" ht="46.25" hidden="false" customHeight="false" outlineLevel="0" collapsed="false">
      <c r="A71" s="11" t="s">
        <v>409</v>
      </c>
      <c r="B71" s="11" t="s">
        <v>546</v>
      </c>
      <c r="C71" s="11" t="s">
        <v>547</v>
      </c>
      <c r="D71" s="11" t="s">
        <v>343</v>
      </c>
      <c r="E71" s="11"/>
      <c r="F71" s="11"/>
      <c r="G71" s="11" t="s">
        <v>50</v>
      </c>
      <c r="H71" s="11"/>
      <c r="I71" s="12" t="s">
        <v>42</v>
      </c>
      <c r="J71" s="11"/>
      <c r="K71" s="13" t="n">
        <v>0</v>
      </c>
      <c r="L71" s="13"/>
      <c r="M71" s="12" t="s">
        <v>42</v>
      </c>
      <c r="N71" s="12" t="s">
        <v>42</v>
      </c>
      <c r="O71" s="11" t="s">
        <v>51</v>
      </c>
      <c r="P71" s="11" t="s">
        <v>548</v>
      </c>
    </row>
    <row r="72" customFormat="false" ht="46.25" hidden="false" customHeight="false" outlineLevel="0" collapsed="false">
      <c r="A72" s="11" t="s">
        <v>409</v>
      </c>
      <c r="B72" s="11" t="s">
        <v>546</v>
      </c>
      <c r="C72" s="11" t="s">
        <v>549</v>
      </c>
      <c r="D72" s="11" t="s">
        <v>343</v>
      </c>
      <c r="E72" s="11"/>
      <c r="F72" s="11"/>
      <c r="G72" s="11" t="s">
        <v>50</v>
      </c>
      <c r="H72" s="11"/>
      <c r="I72" s="12" t="s">
        <v>42</v>
      </c>
      <c r="J72" s="11"/>
      <c r="K72" s="13" t="n">
        <v>0</v>
      </c>
      <c r="L72" s="13"/>
      <c r="M72" s="12" t="s">
        <v>42</v>
      </c>
      <c r="N72" s="12" t="s">
        <v>42</v>
      </c>
      <c r="O72" s="11" t="s">
        <v>51</v>
      </c>
      <c r="P72" s="11" t="s">
        <v>550</v>
      </c>
    </row>
    <row r="73" customFormat="false" ht="46.25" hidden="false" customHeight="false" outlineLevel="0" collapsed="false">
      <c r="A73" s="11" t="s">
        <v>409</v>
      </c>
      <c r="B73" s="11" t="s">
        <v>551</v>
      </c>
      <c r="C73" s="11" t="s">
        <v>552</v>
      </c>
      <c r="D73" s="11" t="s">
        <v>211</v>
      </c>
      <c r="E73" s="11"/>
      <c r="F73" s="11"/>
      <c r="G73" s="11" t="s">
        <v>86</v>
      </c>
      <c r="H73" s="11"/>
      <c r="I73" s="12" t="s">
        <v>42</v>
      </c>
      <c r="J73" s="11"/>
      <c r="K73" s="13"/>
      <c r="L73" s="13"/>
      <c r="M73" s="12" t="s">
        <v>42</v>
      </c>
      <c r="N73" s="12" t="s">
        <v>42</v>
      </c>
      <c r="O73" s="11"/>
      <c r="P73" s="11" t="s">
        <v>553</v>
      </c>
    </row>
    <row r="74" customFormat="false" ht="46.25" hidden="false" customHeight="false" outlineLevel="0" collapsed="false">
      <c r="A74" s="11" t="s">
        <v>409</v>
      </c>
      <c r="B74" s="11" t="s">
        <v>551</v>
      </c>
      <c r="C74" s="11" t="s">
        <v>552</v>
      </c>
      <c r="D74" s="11" t="s">
        <v>343</v>
      </c>
      <c r="E74" s="11"/>
      <c r="F74" s="11"/>
      <c r="G74" s="11" t="s">
        <v>167</v>
      </c>
      <c r="H74" s="11"/>
      <c r="I74" s="12" t="s">
        <v>42</v>
      </c>
      <c r="J74" s="11"/>
      <c r="K74" s="13"/>
      <c r="L74" s="13"/>
      <c r="M74" s="12" t="s">
        <v>42</v>
      </c>
      <c r="N74" s="12" t="s">
        <v>42</v>
      </c>
      <c r="O74" s="11"/>
      <c r="P74" s="11" t="s">
        <v>553</v>
      </c>
    </row>
    <row r="75" customFormat="false" ht="46.25" hidden="false" customHeight="false" outlineLevel="0" collapsed="false">
      <c r="A75" s="11" t="s">
        <v>409</v>
      </c>
      <c r="B75" s="11" t="s">
        <v>551</v>
      </c>
      <c r="C75" s="11" t="s">
        <v>554</v>
      </c>
      <c r="D75" s="11" t="s">
        <v>211</v>
      </c>
      <c r="E75" s="11"/>
      <c r="F75" s="11"/>
      <c r="G75" s="11" t="s">
        <v>86</v>
      </c>
      <c r="H75" s="11"/>
      <c r="I75" s="12" t="s">
        <v>42</v>
      </c>
      <c r="J75" s="11"/>
      <c r="K75" s="13"/>
      <c r="L75" s="13"/>
      <c r="M75" s="12" t="s">
        <v>42</v>
      </c>
      <c r="N75" s="12" t="s">
        <v>42</v>
      </c>
      <c r="O75" s="11"/>
      <c r="P75" s="11" t="s">
        <v>555</v>
      </c>
    </row>
    <row r="76" customFormat="false" ht="46.25" hidden="false" customHeight="false" outlineLevel="0" collapsed="false">
      <c r="A76" s="11" t="s">
        <v>409</v>
      </c>
      <c r="B76" s="11" t="s">
        <v>551</v>
      </c>
      <c r="C76" s="11" t="s">
        <v>554</v>
      </c>
      <c r="D76" s="11" t="s">
        <v>343</v>
      </c>
      <c r="E76" s="11"/>
      <c r="F76" s="11"/>
      <c r="G76" s="11" t="s">
        <v>171</v>
      </c>
      <c r="H76" s="11"/>
      <c r="I76" s="12" t="s">
        <v>42</v>
      </c>
      <c r="J76" s="11"/>
      <c r="K76" s="13"/>
      <c r="L76" s="13"/>
      <c r="M76" s="12" t="s">
        <v>42</v>
      </c>
      <c r="N76" s="12" t="s">
        <v>42</v>
      </c>
      <c r="O76" s="11"/>
      <c r="P76" s="11" t="s">
        <v>555</v>
      </c>
    </row>
    <row r="77" customFormat="false" ht="46.25" hidden="false" customHeight="false" outlineLevel="0" collapsed="false">
      <c r="A77" s="11" t="s">
        <v>409</v>
      </c>
      <c r="B77" s="11" t="s">
        <v>551</v>
      </c>
      <c r="C77" s="11" t="s">
        <v>556</v>
      </c>
      <c r="D77" s="11" t="s">
        <v>343</v>
      </c>
      <c r="E77" s="11"/>
      <c r="F77" s="11"/>
      <c r="G77" s="11" t="s">
        <v>98</v>
      </c>
      <c r="H77" s="11"/>
      <c r="I77" s="12" t="s">
        <v>42</v>
      </c>
      <c r="J77" s="11"/>
      <c r="K77" s="13" t="n">
        <v>0</v>
      </c>
      <c r="L77" s="13"/>
      <c r="M77" s="12" t="s">
        <v>42</v>
      </c>
      <c r="N77" s="12" t="s">
        <v>42</v>
      </c>
      <c r="O77" s="11"/>
      <c r="P77" s="11" t="s">
        <v>557</v>
      </c>
    </row>
    <row r="78" customFormat="false" ht="91" hidden="false" customHeight="false" outlineLevel="0" collapsed="false">
      <c r="A78" s="11" t="s">
        <v>409</v>
      </c>
      <c r="B78" s="11" t="s">
        <v>551</v>
      </c>
      <c r="C78" s="11" t="s">
        <v>558</v>
      </c>
      <c r="D78" s="11" t="s">
        <v>343</v>
      </c>
      <c r="E78" s="11"/>
      <c r="F78" s="11" t="s">
        <v>92</v>
      </c>
      <c r="G78" s="11" t="s">
        <v>91</v>
      </c>
      <c r="H78" s="11"/>
      <c r="I78" s="12" t="s">
        <v>42</v>
      </c>
      <c r="J78" s="11"/>
      <c r="K78" s="13" t="n">
        <v>720</v>
      </c>
      <c r="L78" s="13"/>
      <c r="M78" s="12" t="s">
        <v>42</v>
      </c>
      <c r="N78" s="12" t="s">
        <v>42</v>
      </c>
      <c r="O78" s="11"/>
      <c r="P78" s="11" t="s">
        <v>559</v>
      </c>
    </row>
    <row r="79" customFormat="false" ht="46.25" hidden="false" customHeight="false" outlineLevel="0" collapsed="false">
      <c r="A79" s="11" t="s">
        <v>409</v>
      </c>
      <c r="B79" s="11" t="s">
        <v>551</v>
      </c>
      <c r="C79" s="11" t="s">
        <v>560</v>
      </c>
      <c r="D79" s="11" t="s">
        <v>343</v>
      </c>
      <c r="E79" s="11"/>
      <c r="F79" s="11"/>
      <c r="G79" s="11" t="s">
        <v>175</v>
      </c>
      <c r="H79" s="11"/>
      <c r="I79" s="12" t="s">
        <v>42</v>
      </c>
      <c r="J79" s="11"/>
      <c r="K79" s="13"/>
      <c r="L79" s="13"/>
      <c r="M79" s="12" t="s">
        <v>42</v>
      </c>
      <c r="N79" s="12" t="s">
        <v>42</v>
      </c>
      <c r="O79" s="11"/>
      <c r="P79" s="11" t="s">
        <v>561</v>
      </c>
    </row>
    <row r="80" customFormat="false" ht="46.25" hidden="false" customHeight="false" outlineLevel="0" collapsed="false">
      <c r="A80" s="11" t="s">
        <v>409</v>
      </c>
      <c r="B80" s="11" t="s">
        <v>551</v>
      </c>
      <c r="C80" s="11" t="s">
        <v>562</v>
      </c>
      <c r="D80" s="11" t="s">
        <v>211</v>
      </c>
      <c r="E80" s="11"/>
      <c r="F80" s="11"/>
      <c r="G80" s="11" t="s">
        <v>84</v>
      </c>
      <c r="H80" s="11"/>
      <c r="I80" s="12" t="s">
        <v>42</v>
      </c>
      <c r="J80" s="11"/>
      <c r="K80" s="13" t="n">
        <v>650</v>
      </c>
      <c r="L80" s="13"/>
      <c r="M80" s="12" t="s">
        <v>42</v>
      </c>
      <c r="N80" s="12" t="s">
        <v>42</v>
      </c>
      <c r="O80" s="11"/>
      <c r="P80" s="11" t="s">
        <v>563</v>
      </c>
    </row>
    <row r="81" customFormat="false" ht="46.25" hidden="false" customHeight="false" outlineLevel="0" collapsed="false">
      <c r="A81" s="11" t="s">
        <v>409</v>
      </c>
      <c r="B81" s="11" t="s">
        <v>551</v>
      </c>
      <c r="C81" s="11" t="s">
        <v>562</v>
      </c>
      <c r="D81" s="11" t="s">
        <v>343</v>
      </c>
      <c r="E81" s="11"/>
      <c r="F81" s="11"/>
      <c r="G81" s="11" t="s">
        <v>173</v>
      </c>
      <c r="H81" s="11"/>
      <c r="I81" s="12" t="s">
        <v>42</v>
      </c>
      <c r="J81" s="11"/>
      <c r="K81" s="13" t="n">
        <v>0</v>
      </c>
      <c r="L81" s="13"/>
      <c r="M81" s="12" t="s">
        <v>42</v>
      </c>
      <c r="N81" s="12" t="s">
        <v>42</v>
      </c>
      <c r="O81" s="11"/>
      <c r="P81" s="11" t="s">
        <v>563</v>
      </c>
    </row>
    <row r="82" customFormat="false" ht="46.25" hidden="false" customHeight="false" outlineLevel="0" collapsed="false">
      <c r="A82" s="11" t="s">
        <v>409</v>
      </c>
      <c r="B82" s="11" t="s">
        <v>551</v>
      </c>
      <c r="C82" s="11" t="s">
        <v>564</v>
      </c>
      <c r="D82" s="11" t="s">
        <v>343</v>
      </c>
      <c r="E82" s="11"/>
      <c r="F82" s="11"/>
      <c r="G82" s="11" t="s">
        <v>56</v>
      </c>
      <c r="H82" s="11"/>
      <c r="I82" s="12" t="s">
        <v>42</v>
      </c>
      <c r="J82" s="11"/>
      <c r="K82" s="13" t="n">
        <v>0</v>
      </c>
      <c r="L82" s="13"/>
      <c r="M82" s="12" t="s">
        <v>42</v>
      </c>
      <c r="N82" s="12" t="s">
        <v>42</v>
      </c>
      <c r="O82" s="11"/>
      <c r="P82" s="11" t="s">
        <v>565</v>
      </c>
    </row>
    <row r="83" customFormat="false" ht="46.25" hidden="false" customHeight="false" outlineLevel="0" collapsed="false">
      <c r="A83" s="11" t="s">
        <v>409</v>
      </c>
      <c r="B83" s="11" t="s">
        <v>551</v>
      </c>
      <c r="C83" s="11" t="s">
        <v>566</v>
      </c>
      <c r="D83" s="11" t="s">
        <v>343</v>
      </c>
      <c r="E83" s="11"/>
      <c r="F83" s="11"/>
      <c r="G83" s="11" t="s">
        <v>61</v>
      </c>
      <c r="H83" s="11"/>
      <c r="I83" s="12" t="s">
        <v>42</v>
      </c>
      <c r="J83" s="11"/>
      <c r="K83" s="13" t="n">
        <v>0</v>
      </c>
      <c r="L83" s="13"/>
      <c r="M83" s="12" t="s">
        <v>42</v>
      </c>
      <c r="N83" s="12" t="s">
        <v>42</v>
      </c>
      <c r="O83" s="11"/>
      <c r="P83" s="11" t="s">
        <v>567</v>
      </c>
    </row>
    <row r="84" customFormat="false" ht="57.45" hidden="false" customHeight="false" outlineLevel="0" collapsed="false">
      <c r="A84" s="11" t="s">
        <v>409</v>
      </c>
      <c r="B84" s="11" t="s">
        <v>551</v>
      </c>
      <c r="C84" s="11" t="s">
        <v>568</v>
      </c>
      <c r="D84" s="11" t="s">
        <v>343</v>
      </c>
      <c r="E84" s="11"/>
      <c r="F84" s="11"/>
      <c r="G84" s="11" t="s">
        <v>53</v>
      </c>
      <c r="H84" s="11"/>
      <c r="I84" s="12" t="s">
        <v>42</v>
      </c>
      <c r="J84" s="11"/>
      <c r="K84" s="13" t="n">
        <v>520</v>
      </c>
      <c r="L84" s="13"/>
      <c r="M84" s="12" t="s">
        <v>42</v>
      </c>
      <c r="N84" s="12" t="s">
        <v>42</v>
      </c>
      <c r="O84" s="11" t="s">
        <v>54</v>
      </c>
      <c r="P84" s="11" t="s">
        <v>569</v>
      </c>
    </row>
    <row r="85" customFormat="false" ht="46.25" hidden="false" customHeight="false" outlineLevel="0" collapsed="false">
      <c r="A85" s="11" t="s">
        <v>409</v>
      </c>
      <c r="B85" s="11" t="s">
        <v>570</v>
      </c>
      <c r="C85" s="11" t="s">
        <v>571</v>
      </c>
      <c r="D85" s="11" t="s">
        <v>343</v>
      </c>
      <c r="E85" s="11"/>
      <c r="F85" s="11"/>
      <c r="G85" s="11" t="s">
        <v>50</v>
      </c>
      <c r="H85" s="11"/>
      <c r="I85" s="12" t="s">
        <v>42</v>
      </c>
      <c r="J85" s="11"/>
      <c r="K85" s="13" t="n">
        <v>0</v>
      </c>
      <c r="L85" s="13"/>
      <c r="M85" s="12" t="s">
        <v>42</v>
      </c>
      <c r="N85" s="12" t="s">
        <v>42</v>
      </c>
      <c r="O85" s="11" t="s">
        <v>51</v>
      </c>
      <c r="P85" s="11" t="s">
        <v>572</v>
      </c>
    </row>
    <row r="86" customFormat="false" ht="46.25" hidden="false" customHeight="false" outlineLevel="0" collapsed="false">
      <c r="A86" s="11" t="s">
        <v>409</v>
      </c>
      <c r="B86" s="11" t="s">
        <v>570</v>
      </c>
      <c r="C86" s="11" t="s">
        <v>573</v>
      </c>
      <c r="D86" s="11" t="s">
        <v>343</v>
      </c>
      <c r="E86" s="11"/>
      <c r="F86" s="11"/>
      <c r="G86" s="11" t="s">
        <v>50</v>
      </c>
      <c r="H86" s="11"/>
      <c r="I86" s="12" t="s">
        <v>42</v>
      </c>
      <c r="J86" s="11"/>
      <c r="K86" s="13" t="n">
        <v>0</v>
      </c>
      <c r="L86" s="13"/>
      <c r="M86" s="12" t="s">
        <v>42</v>
      </c>
      <c r="N86" s="12" t="s">
        <v>42</v>
      </c>
      <c r="O86" s="11" t="s">
        <v>51</v>
      </c>
      <c r="P86" s="11" t="s">
        <v>574</v>
      </c>
    </row>
    <row r="87" customFormat="false" ht="135.8" hidden="false" customHeight="false" outlineLevel="0" collapsed="false">
      <c r="A87" s="11" t="s">
        <v>409</v>
      </c>
      <c r="B87" s="11" t="s">
        <v>570</v>
      </c>
      <c r="C87" s="11" t="s">
        <v>575</v>
      </c>
      <c r="D87" s="11" t="s">
        <v>343</v>
      </c>
      <c r="E87" s="11"/>
      <c r="F87" s="11"/>
      <c r="G87" s="11" t="s">
        <v>254</v>
      </c>
      <c r="H87" s="11"/>
      <c r="I87" s="12" t="s">
        <v>42</v>
      </c>
      <c r="J87" s="11"/>
      <c r="K87" s="13" t="n">
        <v>0</v>
      </c>
      <c r="L87" s="13"/>
      <c r="M87" s="12" t="s">
        <v>42</v>
      </c>
      <c r="N87" s="12" t="s">
        <v>42</v>
      </c>
      <c r="O87" s="11" t="s">
        <v>227</v>
      </c>
      <c r="P87" s="11" t="s">
        <v>576</v>
      </c>
    </row>
    <row r="88" customFormat="false" ht="46.25" hidden="false" customHeight="false" outlineLevel="0" collapsed="false">
      <c r="A88" s="11" t="s">
        <v>409</v>
      </c>
      <c r="B88" s="11" t="s">
        <v>570</v>
      </c>
      <c r="C88" s="11" t="s">
        <v>577</v>
      </c>
      <c r="D88" s="11" t="s">
        <v>343</v>
      </c>
      <c r="E88" s="11"/>
      <c r="F88" s="11"/>
      <c r="G88" s="11" t="s">
        <v>50</v>
      </c>
      <c r="H88" s="11"/>
      <c r="I88" s="12" t="s">
        <v>42</v>
      </c>
      <c r="J88" s="11"/>
      <c r="K88" s="13" t="n">
        <v>0</v>
      </c>
      <c r="L88" s="13"/>
      <c r="M88" s="12" t="s">
        <v>42</v>
      </c>
      <c r="N88" s="12" t="s">
        <v>42</v>
      </c>
      <c r="O88" s="11" t="s">
        <v>51</v>
      </c>
      <c r="P88" s="11" t="s">
        <v>578</v>
      </c>
    </row>
    <row r="89" customFormat="false" ht="46.25" hidden="false" customHeight="false" outlineLevel="0" collapsed="false">
      <c r="A89" s="11" t="s">
        <v>409</v>
      </c>
      <c r="B89" s="11" t="s">
        <v>579</v>
      </c>
      <c r="C89" s="11" t="s">
        <v>580</v>
      </c>
      <c r="D89" s="11" t="s">
        <v>343</v>
      </c>
      <c r="E89" s="11"/>
      <c r="F89" s="11"/>
      <c r="G89" s="11" t="s">
        <v>50</v>
      </c>
      <c r="H89" s="11"/>
      <c r="I89" s="12" t="s">
        <v>42</v>
      </c>
      <c r="J89" s="11"/>
      <c r="K89" s="13" t="n">
        <v>720</v>
      </c>
      <c r="L89" s="13"/>
      <c r="M89" s="12" t="s">
        <v>42</v>
      </c>
      <c r="N89" s="12" t="s">
        <v>42</v>
      </c>
      <c r="O89" s="11" t="s">
        <v>51</v>
      </c>
      <c r="P89" s="11" t="s">
        <v>581</v>
      </c>
    </row>
    <row r="90" customFormat="false" ht="102.2" hidden="false" customHeight="false" outlineLevel="0" collapsed="false">
      <c r="A90" s="11" t="s">
        <v>582</v>
      </c>
      <c r="B90" s="11" t="s">
        <v>583</v>
      </c>
      <c r="C90" s="11" t="s">
        <v>584</v>
      </c>
      <c r="D90" s="11" t="s">
        <v>343</v>
      </c>
      <c r="E90" s="11"/>
      <c r="F90" s="11"/>
      <c r="G90" s="11" t="s">
        <v>237</v>
      </c>
      <c r="H90" s="11"/>
      <c r="I90" s="12" t="s">
        <v>42</v>
      </c>
      <c r="J90" s="11"/>
      <c r="K90" s="13" t="n">
        <v>0</v>
      </c>
      <c r="L90" s="13"/>
      <c r="M90" s="12" t="s">
        <v>42</v>
      </c>
      <c r="N90" s="12" t="s">
        <v>42</v>
      </c>
      <c r="O90" s="11" t="s">
        <v>227</v>
      </c>
      <c r="P90" s="11" t="s">
        <v>585</v>
      </c>
    </row>
    <row r="91" customFormat="false" ht="46.25" hidden="false" customHeight="false" outlineLevel="0" collapsed="false">
      <c r="A91" s="11" t="s">
        <v>582</v>
      </c>
      <c r="B91" s="11" t="s">
        <v>583</v>
      </c>
      <c r="C91" s="11" t="s">
        <v>586</v>
      </c>
      <c r="D91" s="11" t="s">
        <v>211</v>
      </c>
      <c r="E91" s="11"/>
      <c r="F91" s="11"/>
      <c r="G91" s="11" t="s">
        <v>207</v>
      </c>
      <c r="H91" s="11"/>
      <c r="I91" s="12" t="s">
        <v>42</v>
      </c>
      <c r="J91" s="11"/>
      <c r="K91" s="13" t="n">
        <v>1350</v>
      </c>
      <c r="L91" s="13"/>
      <c r="M91" s="12" t="s">
        <v>42</v>
      </c>
      <c r="N91" s="12" t="s">
        <v>42</v>
      </c>
      <c r="O91" s="11"/>
      <c r="P91" s="11" t="s">
        <v>587</v>
      </c>
    </row>
    <row r="92" customFormat="false" ht="79.85" hidden="false" customHeight="false" outlineLevel="0" collapsed="false">
      <c r="A92" s="11" t="s">
        <v>582</v>
      </c>
      <c r="B92" s="11" t="s">
        <v>583</v>
      </c>
      <c r="C92" s="11" t="s">
        <v>586</v>
      </c>
      <c r="D92" s="11" t="s">
        <v>343</v>
      </c>
      <c r="E92" s="11"/>
      <c r="F92" s="11"/>
      <c r="G92" s="11" t="s">
        <v>250</v>
      </c>
      <c r="H92" s="11"/>
      <c r="I92" s="12" t="s">
        <v>42</v>
      </c>
      <c r="J92" s="11"/>
      <c r="K92" s="13" t="n">
        <v>0</v>
      </c>
      <c r="L92" s="13"/>
      <c r="M92" s="12" t="s">
        <v>42</v>
      </c>
      <c r="N92" s="12" t="s">
        <v>42</v>
      </c>
      <c r="O92" s="11" t="s">
        <v>227</v>
      </c>
      <c r="P92" s="11" t="s">
        <v>587</v>
      </c>
    </row>
    <row r="93" customFormat="false" ht="46.25" hidden="false" customHeight="false" outlineLevel="0" collapsed="false">
      <c r="A93" s="11" t="s">
        <v>582</v>
      </c>
      <c r="B93" s="11" t="s">
        <v>583</v>
      </c>
      <c r="C93" s="11" t="s">
        <v>588</v>
      </c>
      <c r="D93" s="11" t="s">
        <v>343</v>
      </c>
      <c r="E93" s="11"/>
      <c r="F93" s="11"/>
      <c r="G93" s="11" t="s">
        <v>50</v>
      </c>
      <c r="H93" s="11"/>
      <c r="I93" s="12" t="s">
        <v>42</v>
      </c>
      <c r="J93" s="11"/>
      <c r="K93" s="13" t="n">
        <v>540</v>
      </c>
      <c r="L93" s="13"/>
      <c r="M93" s="12" t="s">
        <v>42</v>
      </c>
      <c r="N93" s="12" t="s">
        <v>42</v>
      </c>
      <c r="O93" s="11" t="s">
        <v>51</v>
      </c>
      <c r="P93" s="11" t="s">
        <v>589</v>
      </c>
    </row>
    <row r="94" customFormat="false" ht="46.25" hidden="false" customHeight="false" outlineLevel="0" collapsed="false">
      <c r="A94" s="11" t="s">
        <v>582</v>
      </c>
      <c r="B94" s="11" t="s">
        <v>583</v>
      </c>
      <c r="C94" s="11" t="s">
        <v>590</v>
      </c>
      <c r="D94" s="11" t="s">
        <v>343</v>
      </c>
      <c r="E94" s="11"/>
      <c r="F94" s="11"/>
      <c r="G94" s="11" t="s">
        <v>50</v>
      </c>
      <c r="H94" s="11"/>
      <c r="I94" s="12" t="s">
        <v>42</v>
      </c>
      <c r="J94" s="11"/>
      <c r="K94" s="13" t="n">
        <v>540</v>
      </c>
      <c r="L94" s="13"/>
      <c r="M94" s="12" t="s">
        <v>42</v>
      </c>
      <c r="N94" s="12" t="s">
        <v>42</v>
      </c>
      <c r="O94" s="11" t="s">
        <v>51</v>
      </c>
      <c r="P94" s="11" t="s">
        <v>591</v>
      </c>
    </row>
    <row r="95" customFormat="false" ht="102.2" hidden="false" customHeight="false" outlineLevel="0" collapsed="false">
      <c r="A95" s="11" t="s">
        <v>582</v>
      </c>
      <c r="B95" s="11" t="s">
        <v>583</v>
      </c>
      <c r="C95" s="11" t="s">
        <v>592</v>
      </c>
      <c r="D95" s="11" t="s">
        <v>211</v>
      </c>
      <c r="E95" s="11"/>
      <c r="F95" s="11"/>
      <c r="G95" s="11" t="s">
        <v>209</v>
      </c>
      <c r="H95" s="11"/>
      <c r="I95" s="12" t="s">
        <v>42</v>
      </c>
      <c r="J95" s="11"/>
      <c r="K95" s="13" t="n">
        <v>450</v>
      </c>
      <c r="L95" s="13"/>
      <c r="M95" s="12" t="s">
        <v>42</v>
      </c>
      <c r="N95" s="12" t="s">
        <v>42</v>
      </c>
      <c r="O95" s="11"/>
      <c r="P95" s="11" t="s">
        <v>593</v>
      </c>
    </row>
    <row r="96" customFormat="false" ht="102.2" hidden="false" customHeight="false" outlineLevel="0" collapsed="false">
      <c r="A96" s="11" t="s">
        <v>582</v>
      </c>
      <c r="B96" s="11" t="s">
        <v>583</v>
      </c>
      <c r="C96" s="11" t="s">
        <v>592</v>
      </c>
      <c r="D96" s="11" t="s">
        <v>343</v>
      </c>
      <c r="E96" s="11"/>
      <c r="F96" s="11"/>
      <c r="G96" s="11" t="s">
        <v>237</v>
      </c>
      <c r="H96" s="11"/>
      <c r="I96" s="12" t="s">
        <v>42</v>
      </c>
      <c r="J96" s="11"/>
      <c r="K96" s="13" t="n">
        <v>0</v>
      </c>
      <c r="L96" s="13"/>
      <c r="M96" s="12" t="s">
        <v>42</v>
      </c>
      <c r="N96" s="12" t="s">
        <v>42</v>
      </c>
      <c r="O96" s="11" t="s">
        <v>227</v>
      </c>
      <c r="P96" s="11" t="s">
        <v>593</v>
      </c>
    </row>
    <row r="97" customFormat="false" ht="46.25" hidden="false" customHeight="false" outlineLevel="0" collapsed="false">
      <c r="A97" s="11" t="s">
        <v>582</v>
      </c>
      <c r="B97" s="11" t="s">
        <v>583</v>
      </c>
      <c r="C97" s="11" t="s">
        <v>594</v>
      </c>
      <c r="D97" s="11" t="s">
        <v>343</v>
      </c>
      <c r="E97" s="11"/>
      <c r="F97" s="11"/>
      <c r="G97" s="11" t="s">
        <v>50</v>
      </c>
      <c r="H97" s="11"/>
      <c r="I97" s="12" t="s">
        <v>42</v>
      </c>
      <c r="J97" s="11"/>
      <c r="K97" s="13" t="n">
        <v>720</v>
      </c>
      <c r="L97" s="13"/>
      <c r="M97" s="12" t="s">
        <v>42</v>
      </c>
      <c r="N97" s="12" t="s">
        <v>42</v>
      </c>
      <c r="O97" s="11" t="s">
        <v>51</v>
      </c>
      <c r="P97" s="11" t="s">
        <v>595</v>
      </c>
    </row>
    <row r="98" customFormat="false" ht="35.05" hidden="false" customHeight="false" outlineLevel="0" collapsed="false">
      <c r="A98" s="11" t="s">
        <v>582</v>
      </c>
      <c r="B98" s="11" t="s">
        <v>583</v>
      </c>
      <c r="C98" s="11" t="s">
        <v>596</v>
      </c>
      <c r="D98" s="11" t="s">
        <v>343</v>
      </c>
      <c r="E98" s="11"/>
      <c r="F98" s="11"/>
      <c r="G98" s="11" t="s">
        <v>50</v>
      </c>
      <c r="H98" s="11"/>
      <c r="I98" s="12" t="s">
        <v>42</v>
      </c>
      <c r="J98" s="11"/>
      <c r="K98" s="13" t="n">
        <v>720</v>
      </c>
      <c r="L98" s="13"/>
      <c r="M98" s="12" t="s">
        <v>42</v>
      </c>
      <c r="N98" s="12" t="s">
        <v>42</v>
      </c>
      <c r="O98" s="11" t="s">
        <v>51</v>
      </c>
      <c r="P98" s="11" t="s">
        <v>597</v>
      </c>
    </row>
    <row r="99" customFormat="false" ht="46.25" hidden="false" customHeight="false" outlineLevel="0" collapsed="false">
      <c r="A99" s="11" t="s">
        <v>582</v>
      </c>
      <c r="B99" s="11" t="s">
        <v>598</v>
      </c>
      <c r="C99" s="11" t="s">
        <v>599</v>
      </c>
      <c r="D99" s="11" t="s">
        <v>211</v>
      </c>
      <c r="E99" s="11"/>
      <c r="F99" s="11"/>
      <c r="G99" s="11" t="s">
        <v>291</v>
      </c>
      <c r="H99" s="11"/>
      <c r="I99" s="12" t="s">
        <v>42</v>
      </c>
      <c r="J99" s="11"/>
      <c r="K99" s="13" t="n">
        <v>1350</v>
      </c>
      <c r="L99" s="13"/>
      <c r="M99" s="12" t="s">
        <v>42</v>
      </c>
      <c r="N99" s="12" t="s">
        <v>42</v>
      </c>
      <c r="O99" s="11"/>
      <c r="P99" s="11" t="s">
        <v>600</v>
      </c>
    </row>
    <row r="100" customFormat="false" ht="46.25" hidden="false" customHeight="false" outlineLevel="0" collapsed="false">
      <c r="A100" s="11" t="s">
        <v>582</v>
      </c>
      <c r="B100" s="11" t="s">
        <v>598</v>
      </c>
      <c r="C100" s="11" t="s">
        <v>599</v>
      </c>
      <c r="D100" s="11" t="s">
        <v>343</v>
      </c>
      <c r="E100" s="11"/>
      <c r="F100" s="11"/>
      <c r="G100" s="11" t="s">
        <v>258</v>
      </c>
      <c r="H100" s="11"/>
      <c r="I100" s="12" t="s">
        <v>42</v>
      </c>
      <c r="J100" s="11"/>
      <c r="K100" s="13" t="n">
        <v>0</v>
      </c>
      <c r="L100" s="13"/>
      <c r="M100" s="12" t="s">
        <v>42</v>
      </c>
      <c r="N100" s="12" t="s">
        <v>42</v>
      </c>
      <c r="O100" s="11" t="s">
        <v>227</v>
      </c>
      <c r="P100" s="11" t="s">
        <v>600</v>
      </c>
    </row>
    <row r="101" customFormat="false" ht="46.25" hidden="false" customHeight="false" outlineLevel="0" collapsed="false">
      <c r="A101" s="11" t="s">
        <v>582</v>
      </c>
      <c r="B101" s="11" t="s">
        <v>598</v>
      </c>
      <c r="C101" s="11" t="s">
        <v>601</v>
      </c>
      <c r="D101" s="11" t="s">
        <v>343</v>
      </c>
      <c r="E101" s="11"/>
      <c r="F101" s="11"/>
      <c r="G101" s="11" t="s">
        <v>50</v>
      </c>
      <c r="H101" s="11"/>
      <c r="I101" s="12" t="s">
        <v>42</v>
      </c>
      <c r="J101" s="11"/>
      <c r="K101" s="13" t="n">
        <v>540</v>
      </c>
      <c r="L101" s="13"/>
      <c r="M101" s="12" t="s">
        <v>42</v>
      </c>
      <c r="N101" s="12" t="s">
        <v>42</v>
      </c>
      <c r="O101" s="11" t="s">
        <v>51</v>
      </c>
      <c r="P101" s="11" t="s">
        <v>602</v>
      </c>
    </row>
    <row r="102" customFormat="false" ht="102.2" hidden="false" customHeight="false" outlineLevel="0" collapsed="false">
      <c r="A102" s="11" t="s">
        <v>582</v>
      </c>
      <c r="B102" s="11" t="s">
        <v>598</v>
      </c>
      <c r="C102" s="11" t="s">
        <v>603</v>
      </c>
      <c r="D102" s="11" t="s">
        <v>343</v>
      </c>
      <c r="E102" s="11"/>
      <c r="F102" s="11"/>
      <c r="G102" s="11" t="s">
        <v>239</v>
      </c>
      <c r="H102" s="11"/>
      <c r="I102" s="12" t="s">
        <v>42</v>
      </c>
      <c r="J102" s="11"/>
      <c r="K102" s="13" t="n">
        <v>0</v>
      </c>
      <c r="L102" s="13"/>
      <c r="M102" s="12" t="s">
        <v>42</v>
      </c>
      <c r="N102" s="12" t="s">
        <v>42</v>
      </c>
      <c r="O102" s="11" t="s">
        <v>227</v>
      </c>
      <c r="P102" s="11" t="s">
        <v>604</v>
      </c>
    </row>
    <row r="103" customFormat="false" ht="91" hidden="false" customHeight="false" outlineLevel="0" collapsed="false">
      <c r="A103" s="11" t="s">
        <v>582</v>
      </c>
      <c r="B103" s="11" t="s">
        <v>605</v>
      </c>
      <c r="C103" s="11" t="s">
        <v>606</v>
      </c>
      <c r="D103" s="11" t="s">
        <v>511</v>
      </c>
      <c r="E103" s="11"/>
      <c r="F103" s="11"/>
      <c r="G103" s="11" t="s">
        <v>272</v>
      </c>
      <c r="H103" s="11"/>
      <c r="I103" s="12" t="s">
        <v>42</v>
      </c>
      <c r="J103" s="11"/>
      <c r="K103" s="13" t="n">
        <v>9000</v>
      </c>
      <c r="L103" s="13"/>
      <c r="M103" s="12" t="s">
        <v>42</v>
      </c>
      <c r="N103" s="12" t="s">
        <v>42</v>
      </c>
      <c r="O103" s="11"/>
      <c r="P103" s="11" t="s">
        <v>607</v>
      </c>
    </row>
    <row r="104" customFormat="false" ht="113.4" hidden="false" customHeight="false" outlineLevel="0" collapsed="false">
      <c r="A104" s="11" t="s">
        <v>582</v>
      </c>
      <c r="B104" s="11" t="s">
        <v>605</v>
      </c>
      <c r="C104" s="11" t="s">
        <v>606</v>
      </c>
      <c r="D104" s="11" t="s">
        <v>343</v>
      </c>
      <c r="E104" s="11"/>
      <c r="F104" s="11"/>
      <c r="G104" s="11" t="s">
        <v>248</v>
      </c>
      <c r="H104" s="11"/>
      <c r="I104" s="12" t="s">
        <v>42</v>
      </c>
      <c r="J104" s="11"/>
      <c r="K104" s="13" t="n">
        <v>0</v>
      </c>
      <c r="L104" s="13"/>
      <c r="M104" s="12" t="s">
        <v>42</v>
      </c>
      <c r="N104" s="12" t="s">
        <v>42</v>
      </c>
      <c r="O104" s="11" t="s">
        <v>227</v>
      </c>
      <c r="P104" s="11" t="s">
        <v>607</v>
      </c>
    </row>
    <row r="105" customFormat="false" ht="113.4" hidden="false" customHeight="false" outlineLevel="0" collapsed="false">
      <c r="A105" s="11" t="s">
        <v>582</v>
      </c>
      <c r="B105" s="11" t="s">
        <v>605</v>
      </c>
      <c r="C105" s="11" t="s">
        <v>608</v>
      </c>
      <c r="D105" s="11" t="s">
        <v>343</v>
      </c>
      <c r="E105" s="11"/>
      <c r="F105" s="11"/>
      <c r="G105" s="11" t="s">
        <v>226</v>
      </c>
      <c r="H105" s="11"/>
      <c r="I105" s="12" t="s">
        <v>42</v>
      </c>
      <c r="J105" s="11"/>
      <c r="K105" s="13" t="n">
        <v>0</v>
      </c>
      <c r="L105" s="13"/>
      <c r="M105" s="12" t="s">
        <v>42</v>
      </c>
      <c r="N105" s="12" t="s">
        <v>42</v>
      </c>
      <c r="O105" s="11" t="s">
        <v>227</v>
      </c>
      <c r="P105" s="11" t="s">
        <v>609</v>
      </c>
    </row>
    <row r="106" customFormat="false" ht="35.05" hidden="false" customHeight="false" outlineLevel="0" collapsed="false">
      <c r="A106" s="11" t="s">
        <v>610</v>
      </c>
      <c r="B106" s="11" t="s">
        <v>611</v>
      </c>
      <c r="C106" s="11" t="s">
        <v>612</v>
      </c>
      <c r="D106" s="11" t="s">
        <v>343</v>
      </c>
      <c r="E106" s="11"/>
      <c r="F106" s="11"/>
      <c r="G106" s="11" t="s">
        <v>114</v>
      </c>
      <c r="H106" s="11"/>
      <c r="I106" s="12" t="s">
        <v>42</v>
      </c>
      <c r="J106" s="11"/>
      <c r="K106" s="13" t="n">
        <v>1690</v>
      </c>
      <c r="L106" s="13"/>
      <c r="M106" s="12" t="s">
        <v>42</v>
      </c>
      <c r="N106" s="12" t="s">
        <v>42</v>
      </c>
      <c r="O106" s="11"/>
      <c r="P106" s="11" t="s">
        <v>613</v>
      </c>
    </row>
    <row r="107" customFormat="false" ht="46.25" hidden="false" customHeight="false" outlineLevel="0" collapsed="false">
      <c r="A107" s="11" t="s">
        <v>610</v>
      </c>
      <c r="B107" s="11" t="s">
        <v>614</v>
      </c>
      <c r="C107" s="11" t="s">
        <v>615</v>
      </c>
      <c r="D107" s="11" t="s">
        <v>343</v>
      </c>
      <c r="E107" s="11"/>
      <c r="F107" s="11"/>
      <c r="G107" s="11" t="s">
        <v>280</v>
      </c>
      <c r="H107" s="11"/>
      <c r="I107" s="12" t="s">
        <v>42</v>
      </c>
      <c r="J107" s="11"/>
      <c r="K107" s="13" t="n">
        <v>0</v>
      </c>
      <c r="L107" s="13"/>
      <c r="M107" s="12" t="s">
        <v>42</v>
      </c>
      <c r="N107" s="12" t="s">
        <v>42</v>
      </c>
      <c r="O107" s="11"/>
      <c r="P107" s="11" t="s">
        <v>616</v>
      </c>
    </row>
    <row r="108" customFormat="false" ht="46.25" hidden="false" customHeight="false" outlineLevel="0" collapsed="false">
      <c r="A108" s="11" t="s">
        <v>610</v>
      </c>
      <c r="B108" s="11" t="s">
        <v>614</v>
      </c>
      <c r="C108" s="11" t="s">
        <v>617</v>
      </c>
      <c r="D108" s="11" t="s">
        <v>343</v>
      </c>
      <c r="E108" s="11"/>
      <c r="F108" s="11"/>
      <c r="G108" s="11" t="s">
        <v>114</v>
      </c>
      <c r="H108" s="11"/>
      <c r="I108" s="12" t="s">
        <v>42</v>
      </c>
      <c r="J108" s="11"/>
      <c r="K108" s="13" t="n">
        <v>1690</v>
      </c>
      <c r="L108" s="13"/>
      <c r="M108" s="12" t="s">
        <v>42</v>
      </c>
      <c r="N108" s="12" t="s">
        <v>42</v>
      </c>
      <c r="O108" s="11"/>
      <c r="P108" s="11" t="s">
        <v>618</v>
      </c>
    </row>
    <row r="109" customFormat="false" ht="46.25" hidden="false" customHeight="false" outlineLevel="0" collapsed="false">
      <c r="A109" s="11" t="s">
        <v>610</v>
      </c>
      <c r="B109" s="11" t="s">
        <v>614</v>
      </c>
      <c r="C109" s="11" t="s">
        <v>619</v>
      </c>
      <c r="D109" s="11" t="s">
        <v>343</v>
      </c>
      <c r="E109" s="11"/>
      <c r="F109" s="11"/>
      <c r="G109" s="11" t="s">
        <v>280</v>
      </c>
      <c r="H109" s="11"/>
      <c r="I109" s="12" t="s">
        <v>42</v>
      </c>
      <c r="J109" s="11"/>
      <c r="K109" s="13"/>
      <c r="L109" s="13"/>
      <c r="M109" s="12" t="s">
        <v>42</v>
      </c>
      <c r="N109" s="12" t="s">
        <v>42</v>
      </c>
      <c r="O109" s="11"/>
      <c r="P109" s="11" t="s">
        <v>620</v>
      </c>
    </row>
    <row r="110" customFormat="false" ht="46.25" hidden="false" customHeight="false" outlineLevel="0" collapsed="false">
      <c r="A110" s="11" t="s">
        <v>610</v>
      </c>
      <c r="B110" s="11" t="s">
        <v>621</v>
      </c>
      <c r="C110" s="11" t="s">
        <v>622</v>
      </c>
      <c r="D110" s="11" t="s">
        <v>343</v>
      </c>
      <c r="E110" s="11"/>
      <c r="F110" s="11"/>
      <c r="G110" s="11" t="s">
        <v>50</v>
      </c>
      <c r="H110" s="11"/>
      <c r="I110" s="12" t="s">
        <v>42</v>
      </c>
      <c r="J110" s="11"/>
      <c r="K110" s="13" t="n">
        <v>540</v>
      </c>
      <c r="L110" s="13"/>
      <c r="M110" s="12" t="s">
        <v>42</v>
      </c>
      <c r="N110" s="12" t="s">
        <v>42</v>
      </c>
      <c r="O110" s="11" t="s">
        <v>51</v>
      </c>
      <c r="P110" s="11" t="s">
        <v>623</v>
      </c>
    </row>
    <row r="111" customFormat="false" ht="46.25" hidden="false" customHeight="false" outlineLevel="0" collapsed="false">
      <c r="A111" s="11" t="s">
        <v>610</v>
      </c>
      <c r="B111" s="11" t="s">
        <v>621</v>
      </c>
      <c r="C111" s="11" t="s">
        <v>624</v>
      </c>
      <c r="D111" s="11" t="s">
        <v>343</v>
      </c>
      <c r="E111" s="11"/>
      <c r="F111" s="11"/>
      <c r="G111" s="11" t="s">
        <v>50</v>
      </c>
      <c r="H111" s="11"/>
      <c r="I111" s="12" t="s">
        <v>42</v>
      </c>
      <c r="J111" s="11"/>
      <c r="K111" s="13" t="n">
        <v>1080</v>
      </c>
      <c r="L111" s="13"/>
      <c r="M111" s="12" t="s">
        <v>42</v>
      </c>
      <c r="N111" s="12" t="s">
        <v>42</v>
      </c>
      <c r="O111" s="11" t="s">
        <v>51</v>
      </c>
      <c r="P111" s="11" t="s">
        <v>625</v>
      </c>
    </row>
    <row r="112" customFormat="false" ht="46.25" hidden="false" customHeight="false" outlineLevel="0" collapsed="false">
      <c r="A112" s="11" t="s">
        <v>610</v>
      </c>
      <c r="B112" s="11" t="s">
        <v>626</v>
      </c>
      <c r="C112" s="11" t="s">
        <v>627</v>
      </c>
      <c r="D112" s="11" t="s">
        <v>343</v>
      </c>
      <c r="E112" s="11"/>
      <c r="F112" s="11"/>
      <c r="G112" s="11" t="s">
        <v>50</v>
      </c>
      <c r="H112" s="11"/>
      <c r="I112" s="12" t="s">
        <v>42</v>
      </c>
      <c r="J112" s="11"/>
      <c r="K112" s="13" t="n">
        <v>1450</v>
      </c>
      <c r="L112" s="13"/>
      <c r="M112" s="12" t="s">
        <v>42</v>
      </c>
      <c r="N112" s="12" t="s">
        <v>42</v>
      </c>
      <c r="O112" s="11" t="s">
        <v>51</v>
      </c>
      <c r="P112" s="11" t="s">
        <v>628</v>
      </c>
    </row>
    <row r="113" customFormat="false" ht="46.25" hidden="false" customHeight="false" outlineLevel="0" collapsed="false">
      <c r="A113" s="11" t="s">
        <v>610</v>
      </c>
      <c r="B113" s="11" t="s">
        <v>629</v>
      </c>
      <c r="C113" s="11" t="s">
        <v>630</v>
      </c>
      <c r="D113" s="11" t="s">
        <v>343</v>
      </c>
      <c r="E113" s="11"/>
      <c r="F113" s="11"/>
      <c r="G113" s="11" t="s">
        <v>106</v>
      </c>
      <c r="H113" s="11"/>
      <c r="I113" s="12" t="s">
        <v>42</v>
      </c>
      <c r="J113" s="11"/>
      <c r="K113" s="13" t="n">
        <v>1690</v>
      </c>
      <c r="L113" s="13"/>
      <c r="M113" s="12" t="s">
        <v>42</v>
      </c>
      <c r="N113" s="12" t="s">
        <v>42</v>
      </c>
      <c r="O113" s="11"/>
      <c r="P113" s="11" t="s">
        <v>631</v>
      </c>
    </row>
    <row r="114" customFormat="false" ht="46.25" hidden="false" customHeight="false" outlineLevel="0" collapsed="false">
      <c r="A114" s="11" t="s">
        <v>610</v>
      </c>
      <c r="B114" s="11" t="s">
        <v>629</v>
      </c>
      <c r="C114" s="11" t="s">
        <v>632</v>
      </c>
      <c r="D114" s="11" t="s">
        <v>343</v>
      </c>
      <c r="E114" s="11"/>
      <c r="F114" s="11"/>
      <c r="G114" s="11" t="s">
        <v>50</v>
      </c>
      <c r="H114" s="11"/>
      <c r="I114" s="12" t="s">
        <v>42</v>
      </c>
      <c r="J114" s="11"/>
      <c r="K114" s="13"/>
      <c r="L114" s="13"/>
      <c r="M114" s="12" t="s">
        <v>42</v>
      </c>
      <c r="N114" s="12" t="s">
        <v>42</v>
      </c>
      <c r="O114" s="11" t="s">
        <v>51</v>
      </c>
      <c r="P114" s="11" t="s">
        <v>633</v>
      </c>
    </row>
    <row r="115" customFormat="false" ht="46.25" hidden="false" customHeight="false" outlineLevel="0" collapsed="false">
      <c r="A115" s="11" t="s">
        <v>610</v>
      </c>
      <c r="B115" s="11" t="s">
        <v>634</v>
      </c>
      <c r="C115" s="11" t="s">
        <v>635</v>
      </c>
      <c r="D115" s="11" t="s">
        <v>343</v>
      </c>
      <c r="E115" s="11"/>
      <c r="F115" s="11"/>
      <c r="G115" s="11" t="s">
        <v>50</v>
      </c>
      <c r="H115" s="11"/>
      <c r="I115" s="12" t="s">
        <v>42</v>
      </c>
      <c r="J115" s="11"/>
      <c r="K115" s="13" t="n">
        <v>540</v>
      </c>
      <c r="L115" s="13"/>
      <c r="M115" s="12" t="s">
        <v>42</v>
      </c>
      <c r="N115" s="12" t="s">
        <v>42</v>
      </c>
      <c r="O115" s="11" t="s">
        <v>51</v>
      </c>
      <c r="P115" s="11" t="s">
        <v>636</v>
      </c>
    </row>
    <row r="116" customFormat="false" ht="35.05" hidden="false" customHeight="false" outlineLevel="0" collapsed="false">
      <c r="A116" s="11" t="s">
        <v>610</v>
      </c>
      <c r="B116" s="11" t="s">
        <v>637</v>
      </c>
      <c r="C116" s="11" t="s">
        <v>638</v>
      </c>
      <c r="D116" s="11" t="s">
        <v>343</v>
      </c>
      <c r="E116" s="11"/>
      <c r="F116" s="11"/>
      <c r="G116" s="11" t="s">
        <v>50</v>
      </c>
      <c r="H116" s="11"/>
      <c r="I116" s="12" t="s">
        <v>42</v>
      </c>
      <c r="J116" s="11"/>
      <c r="K116" s="13" t="n">
        <v>540</v>
      </c>
      <c r="L116" s="13"/>
      <c r="M116" s="12" t="s">
        <v>42</v>
      </c>
      <c r="N116" s="12" t="s">
        <v>42</v>
      </c>
      <c r="O116" s="11" t="s">
        <v>51</v>
      </c>
      <c r="P116" s="11" t="s">
        <v>639</v>
      </c>
    </row>
    <row r="117" customFormat="false" ht="113.4" hidden="false" customHeight="false" outlineLevel="0" collapsed="false">
      <c r="A117" s="11" t="s">
        <v>610</v>
      </c>
      <c r="B117" s="11" t="s">
        <v>640</v>
      </c>
      <c r="C117" s="11" t="s">
        <v>641</v>
      </c>
      <c r="D117" s="11" t="s">
        <v>511</v>
      </c>
      <c r="E117" s="11"/>
      <c r="F117" s="11"/>
      <c r="G117" s="11" t="s">
        <v>267</v>
      </c>
      <c r="H117" s="11"/>
      <c r="I117" s="12" t="s">
        <v>42</v>
      </c>
      <c r="J117" s="11"/>
      <c r="K117" s="13" t="n">
        <v>2000</v>
      </c>
      <c r="L117" s="13"/>
      <c r="M117" s="12" t="s">
        <v>42</v>
      </c>
      <c r="N117" s="12" t="s">
        <v>42</v>
      </c>
      <c r="O117" s="11"/>
      <c r="P117" s="11" t="s">
        <v>642</v>
      </c>
    </row>
    <row r="118" customFormat="false" ht="68.65" hidden="false" customHeight="false" outlineLevel="0" collapsed="false">
      <c r="A118" s="11" t="s">
        <v>610</v>
      </c>
      <c r="B118" s="11" t="s">
        <v>640</v>
      </c>
      <c r="C118" s="11" t="s">
        <v>641</v>
      </c>
      <c r="D118" s="11" t="s">
        <v>343</v>
      </c>
      <c r="E118" s="11"/>
      <c r="F118" s="11"/>
      <c r="G118" s="11" t="s">
        <v>286</v>
      </c>
      <c r="H118" s="11"/>
      <c r="I118" s="12" t="s">
        <v>42</v>
      </c>
      <c r="J118" s="11"/>
      <c r="K118" s="13" t="n">
        <v>0</v>
      </c>
      <c r="L118" s="13"/>
      <c r="M118" s="12" t="s">
        <v>42</v>
      </c>
      <c r="N118" s="12" t="s">
        <v>42</v>
      </c>
      <c r="O118" s="11" t="s">
        <v>287</v>
      </c>
      <c r="P118" s="11" t="s">
        <v>642</v>
      </c>
    </row>
    <row r="119" customFormat="false" ht="46.25" hidden="false" customHeight="false" outlineLevel="0" collapsed="false">
      <c r="A119" s="11" t="s">
        <v>610</v>
      </c>
      <c r="B119" s="11" t="s">
        <v>643</v>
      </c>
      <c r="C119" s="11" t="s">
        <v>643</v>
      </c>
      <c r="D119" s="11" t="s">
        <v>343</v>
      </c>
      <c r="E119" s="11"/>
      <c r="F119" s="11"/>
      <c r="G119" s="11" t="s">
        <v>50</v>
      </c>
      <c r="H119" s="11"/>
      <c r="I119" s="12" t="s">
        <v>42</v>
      </c>
      <c r="J119" s="11"/>
      <c r="K119" s="13"/>
      <c r="L119" s="13"/>
      <c r="M119" s="12" t="s">
        <v>42</v>
      </c>
      <c r="N119" s="12" t="s">
        <v>42</v>
      </c>
      <c r="O119" s="11" t="s">
        <v>51</v>
      </c>
      <c r="P119" s="11" t="s">
        <v>644</v>
      </c>
    </row>
    <row r="120" customFormat="false" ht="46.25" hidden="false" customHeight="false" outlineLevel="0" collapsed="false">
      <c r="A120" s="11" t="s">
        <v>610</v>
      </c>
      <c r="B120" s="11" t="s">
        <v>645</v>
      </c>
      <c r="C120" s="11" t="s">
        <v>588</v>
      </c>
      <c r="D120" s="11" t="s">
        <v>343</v>
      </c>
      <c r="E120" s="11"/>
      <c r="F120" s="11"/>
      <c r="G120" s="11" t="s">
        <v>50</v>
      </c>
      <c r="H120" s="11"/>
      <c r="I120" s="12" t="s">
        <v>42</v>
      </c>
      <c r="J120" s="11"/>
      <c r="K120" s="13" t="n">
        <v>540</v>
      </c>
      <c r="L120" s="13"/>
      <c r="M120" s="12" t="s">
        <v>42</v>
      </c>
      <c r="N120" s="12" t="s">
        <v>42</v>
      </c>
      <c r="O120" s="11" t="s">
        <v>51</v>
      </c>
      <c r="P120" s="11" t="s">
        <v>646</v>
      </c>
    </row>
    <row r="121" customFormat="false" ht="46.25" hidden="false" customHeight="false" outlineLevel="0" collapsed="false">
      <c r="A121" s="11" t="s">
        <v>610</v>
      </c>
      <c r="B121" s="11" t="s">
        <v>647</v>
      </c>
      <c r="C121" s="11" t="s">
        <v>648</v>
      </c>
      <c r="D121" s="11" t="s">
        <v>343</v>
      </c>
      <c r="E121" s="11"/>
      <c r="F121" s="11"/>
      <c r="G121" s="11" t="s">
        <v>50</v>
      </c>
      <c r="H121" s="11"/>
      <c r="I121" s="12" t="s">
        <v>42</v>
      </c>
      <c r="J121" s="11"/>
      <c r="K121" s="13" t="n">
        <v>540</v>
      </c>
      <c r="L121" s="13"/>
      <c r="M121" s="12" t="s">
        <v>42</v>
      </c>
      <c r="N121" s="12" t="s">
        <v>42</v>
      </c>
      <c r="O121" s="11" t="s">
        <v>51</v>
      </c>
      <c r="P121" s="11" t="s">
        <v>649</v>
      </c>
    </row>
    <row r="122" customFormat="false" ht="46.25" hidden="false" customHeight="false" outlineLevel="0" collapsed="false">
      <c r="A122" s="11" t="s">
        <v>610</v>
      </c>
      <c r="B122" s="11" t="s">
        <v>650</v>
      </c>
      <c r="C122" s="11" t="s">
        <v>651</v>
      </c>
      <c r="D122" s="11" t="s">
        <v>343</v>
      </c>
      <c r="E122" s="11"/>
      <c r="F122" s="11"/>
      <c r="G122" s="11" t="s">
        <v>50</v>
      </c>
      <c r="H122" s="11"/>
      <c r="I122" s="12" t="s">
        <v>42</v>
      </c>
      <c r="J122" s="11"/>
      <c r="K122" s="13" t="n">
        <v>1080</v>
      </c>
      <c r="L122" s="13"/>
      <c r="M122" s="12" t="s">
        <v>42</v>
      </c>
      <c r="N122" s="12" t="s">
        <v>42</v>
      </c>
      <c r="O122" s="11" t="s">
        <v>51</v>
      </c>
      <c r="P122" s="11" t="s">
        <v>652</v>
      </c>
    </row>
    <row r="123" customFormat="false" ht="46.25" hidden="false" customHeight="false" outlineLevel="0" collapsed="false">
      <c r="A123" s="11" t="s">
        <v>610</v>
      </c>
      <c r="B123" s="11" t="s">
        <v>650</v>
      </c>
      <c r="C123" s="11" t="s">
        <v>653</v>
      </c>
      <c r="D123" s="11" t="s">
        <v>343</v>
      </c>
      <c r="E123" s="11"/>
      <c r="F123" s="11"/>
      <c r="G123" s="11" t="s">
        <v>50</v>
      </c>
      <c r="H123" s="11"/>
      <c r="I123" s="12" t="s">
        <v>42</v>
      </c>
      <c r="J123" s="11"/>
      <c r="K123" s="13" t="n">
        <v>540</v>
      </c>
      <c r="L123" s="13"/>
      <c r="M123" s="12" t="s">
        <v>42</v>
      </c>
      <c r="N123" s="12" t="s">
        <v>42</v>
      </c>
      <c r="O123" s="11" t="s">
        <v>51</v>
      </c>
      <c r="P123" s="11" t="s">
        <v>654</v>
      </c>
    </row>
    <row r="124" customFormat="false" ht="46.25" hidden="false" customHeight="false" outlineLevel="0" collapsed="false">
      <c r="A124" s="11" t="s">
        <v>610</v>
      </c>
      <c r="B124" s="11" t="s">
        <v>650</v>
      </c>
      <c r="C124" s="11" t="s">
        <v>655</v>
      </c>
      <c r="D124" s="11" t="s">
        <v>343</v>
      </c>
      <c r="E124" s="11"/>
      <c r="F124" s="11"/>
      <c r="G124" s="11" t="s">
        <v>50</v>
      </c>
      <c r="H124" s="11"/>
      <c r="I124" s="12" t="s">
        <v>42</v>
      </c>
      <c r="J124" s="11"/>
      <c r="K124" s="13" t="n">
        <v>1080</v>
      </c>
      <c r="L124" s="13"/>
      <c r="M124" s="12" t="s">
        <v>42</v>
      </c>
      <c r="N124" s="12" t="s">
        <v>42</v>
      </c>
      <c r="O124" s="11" t="s">
        <v>51</v>
      </c>
      <c r="P124" s="11" t="s">
        <v>656</v>
      </c>
    </row>
    <row r="125" customFormat="false" ht="46.25" hidden="false" customHeight="false" outlineLevel="0" collapsed="false">
      <c r="A125" s="11" t="s">
        <v>610</v>
      </c>
      <c r="B125" s="11" t="s">
        <v>657</v>
      </c>
      <c r="C125" s="11" t="s">
        <v>658</v>
      </c>
      <c r="D125" s="11" t="s">
        <v>343</v>
      </c>
      <c r="E125" s="11"/>
      <c r="F125" s="11"/>
      <c r="G125" s="11" t="s">
        <v>50</v>
      </c>
      <c r="H125" s="11"/>
      <c r="I125" s="12" t="s">
        <v>42</v>
      </c>
      <c r="J125" s="11"/>
      <c r="K125" s="13"/>
      <c r="L125" s="13"/>
      <c r="M125" s="12" t="s">
        <v>42</v>
      </c>
      <c r="N125" s="12" t="s">
        <v>42</v>
      </c>
      <c r="O125" s="11" t="s">
        <v>51</v>
      </c>
      <c r="P125" s="11" t="s">
        <v>659</v>
      </c>
    </row>
    <row r="126" customFormat="false" ht="46.25" hidden="false" customHeight="false" outlineLevel="0" collapsed="false">
      <c r="A126" s="11" t="s">
        <v>610</v>
      </c>
      <c r="B126" s="11" t="s">
        <v>657</v>
      </c>
      <c r="C126" s="11" t="s">
        <v>660</v>
      </c>
      <c r="D126" s="11" t="s">
        <v>343</v>
      </c>
      <c r="E126" s="11"/>
      <c r="F126" s="11"/>
      <c r="G126" s="11" t="s">
        <v>50</v>
      </c>
      <c r="H126" s="11"/>
      <c r="I126" s="12" t="s">
        <v>42</v>
      </c>
      <c r="J126" s="11"/>
      <c r="K126" s="13"/>
      <c r="L126" s="13"/>
      <c r="M126" s="12" t="s">
        <v>42</v>
      </c>
      <c r="N126" s="12" t="s">
        <v>42</v>
      </c>
      <c r="O126" s="11" t="s">
        <v>51</v>
      </c>
      <c r="P126" s="11" t="s">
        <v>661</v>
      </c>
    </row>
    <row r="127" customFormat="false" ht="46.25" hidden="false" customHeight="false" outlineLevel="0" collapsed="false">
      <c r="A127" s="11" t="s">
        <v>610</v>
      </c>
      <c r="B127" s="11" t="s">
        <v>662</v>
      </c>
      <c r="C127" s="11" t="s">
        <v>663</v>
      </c>
      <c r="D127" s="11" t="s">
        <v>343</v>
      </c>
      <c r="E127" s="11"/>
      <c r="F127" s="11"/>
      <c r="G127" s="11" t="s">
        <v>50</v>
      </c>
      <c r="H127" s="11"/>
      <c r="I127" s="12" t="s">
        <v>42</v>
      </c>
      <c r="J127" s="11"/>
      <c r="K127" s="13"/>
      <c r="L127" s="13"/>
      <c r="M127" s="12" t="s">
        <v>42</v>
      </c>
      <c r="N127" s="12" t="s">
        <v>42</v>
      </c>
      <c r="O127" s="11" t="s">
        <v>51</v>
      </c>
      <c r="P127" s="11" t="s">
        <v>664</v>
      </c>
    </row>
    <row r="128" customFormat="false" ht="46.25" hidden="false" customHeight="false" outlineLevel="0" collapsed="false">
      <c r="A128" s="11" t="s">
        <v>610</v>
      </c>
      <c r="B128" s="11" t="s">
        <v>662</v>
      </c>
      <c r="C128" s="11" t="s">
        <v>665</v>
      </c>
      <c r="D128" s="11" t="s">
        <v>343</v>
      </c>
      <c r="E128" s="11"/>
      <c r="F128" s="11"/>
      <c r="G128" s="11" t="s">
        <v>106</v>
      </c>
      <c r="H128" s="11"/>
      <c r="I128" s="12" t="s">
        <v>42</v>
      </c>
      <c r="J128" s="11"/>
      <c r="K128" s="13" t="n">
        <v>0</v>
      </c>
      <c r="L128" s="13"/>
      <c r="M128" s="12" t="s">
        <v>42</v>
      </c>
      <c r="N128" s="12" t="s">
        <v>42</v>
      </c>
      <c r="O128" s="11"/>
      <c r="P128" s="11" t="s">
        <v>666</v>
      </c>
    </row>
    <row r="129" customFormat="false" ht="46.25" hidden="false" customHeight="false" outlineLevel="0" collapsed="false">
      <c r="A129" s="11" t="s">
        <v>610</v>
      </c>
      <c r="B129" s="11" t="s">
        <v>662</v>
      </c>
      <c r="C129" s="11" t="s">
        <v>667</v>
      </c>
      <c r="D129" s="11" t="s">
        <v>343</v>
      </c>
      <c r="E129" s="11"/>
      <c r="F129" s="11"/>
      <c r="G129" s="11" t="s">
        <v>106</v>
      </c>
      <c r="H129" s="11"/>
      <c r="I129" s="12" t="s">
        <v>42</v>
      </c>
      <c r="J129" s="11"/>
      <c r="K129" s="13" t="n">
        <v>1690</v>
      </c>
      <c r="L129" s="13"/>
      <c r="M129" s="12" t="s">
        <v>42</v>
      </c>
      <c r="N129" s="12" t="s">
        <v>42</v>
      </c>
      <c r="O129" s="11"/>
      <c r="P129" s="11" t="s">
        <v>668</v>
      </c>
    </row>
    <row r="130" customFormat="false" ht="46.25" hidden="false" customHeight="false" outlineLevel="0" collapsed="false">
      <c r="A130" s="11" t="s">
        <v>610</v>
      </c>
      <c r="B130" s="11" t="s">
        <v>669</v>
      </c>
      <c r="C130" s="11" t="s">
        <v>670</v>
      </c>
      <c r="D130" s="11" t="s">
        <v>343</v>
      </c>
      <c r="E130" s="11"/>
      <c r="F130" s="11"/>
      <c r="G130" s="11" t="s">
        <v>50</v>
      </c>
      <c r="H130" s="11"/>
      <c r="I130" s="12" t="s">
        <v>42</v>
      </c>
      <c r="J130" s="11"/>
      <c r="K130" s="13"/>
      <c r="L130" s="13"/>
      <c r="M130" s="12" t="s">
        <v>42</v>
      </c>
      <c r="N130" s="12" t="s">
        <v>42</v>
      </c>
      <c r="O130" s="11" t="s">
        <v>51</v>
      </c>
      <c r="P130" s="11" t="s">
        <v>671</v>
      </c>
    </row>
    <row r="131" customFormat="false" ht="46.25" hidden="false" customHeight="false" outlineLevel="0" collapsed="false">
      <c r="A131" s="11" t="s">
        <v>610</v>
      </c>
      <c r="B131" s="11" t="s">
        <v>672</v>
      </c>
      <c r="C131" s="11" t="s">
        <v>673</v>
      </c>
      <c r="D131" s="11" t="s">
        <v>343</v>
      </c>
      <c r="E131" s="11"/>
      <c r="F131" s="11"/>
      <c r="G131" s="11" t="s">
        <v>50</v>
      </c>
      <c r="H131" s="11"/>
      <c r="I131" s="12" t="s">
        <v>42</v>
      </c>
      <c r="J131" s="11"/>
      <c r="K131" s="13" t="n">
        <v>540</v>
      </c>
      <c r="L131" s="13"/>
      <c r="M131" s="12" t="s">
        <v>42</v>
      </c>
      <c r="N131" s="12" t="s">
        <v>42</v>
      </c>
      <c r="O131" s="11" t="s">
        <v>51</v>
      </c>
      <c r="P131" s="11" t="s">
        <v>674</v>
      </c>
    </row>
    <row r="132" customFormat="false" ht="35.05" hidden="false" customHeight="false" outlineLevel="0" collapsed="false">
      <c r="A132" s="11" t="s">
        <v>675</v>
      </c>
      <c r="B132" s="11" t="s">
        <v>676</v>
      </c>
      <c r="C132" s="11" t="s">
        <v>677</v>
      </c>
      <c r="D132" s="11" t="s">
        <v>343</v>
      </c>
      <c r="E132" s="11"/>
      <c r="F132" s="11"/>
      <c r="G132" s="11" t="s">
        <v>50</v>
      </c>
      <c r="H132" s="11"/>
      <c r="I132" s="12" t="s">
        <v>42</v>
      </c>
      <c r="J132" s="11"/>
      <c r="K132" s="13" t="n">
        <v>540</v>
      </c>
      <c r="L132" s="13"/>
      <c r="M132" s="12" t="s">
        <v>42</v>
      </c>
      <c r="N132" s="12" t="s">
        <v>42</v>
      </c>
      <c r="O132" s="11" t="s">
        <v>51</v>
      </c>
      <c r="P132" s="11" t="s">
        <v>678</v>
      </c>
    </row>
    <row r="133" customFormat="false" ht="46.25" hidden="false" customHeight="false" outlineLevel="0" collapsed="false">
      <c r="A133" s="11" t="s">
        <v>679</v>
      </c>
      <c r="B133" s="11" t="s">
        <v>680</v>
      </c>
      <c r="C133" s="11" t="s">
        <v>681</v>
      </c>
      <c r="D133" s="11" t="s">
        <v>343</v>
      </c>
      <c r="E133" s="11"/>
      <c r="F133" s="11"/>
      <c r="G133" s="11" t="s">
        <v>50</v>
      </c>
      <c r="H133" s="11"/>
      <c r="I133" s="12" t="s">
        <v>42</v>
      </c>
      <c r="J133" s="11"/>
      <c r="K133" s="13" t="n">
        <v>0</v>
      </c>
      <c r="L133" s="13"/>
      <c r="M133" s="12" t="s">
        <v>42</v>
      </c>
      <c r="N133" s="12" t="s">
        <v>42</v>
      </c>
      <c r="O133" s="11" t="s">
        <v>51</v>
      </c>
      <c r="P133" s="11" t="s">
        <v>682</v>
      </c>
    </row>
    <row r="134" customFormat="false" ht="46.25" hidden="false" customHeight="false" outlineLevel="0" collapsed="false">
      <c r="A134" s="11" t="s">
        <v>679</v>
      </c>
      <c r="B134" s="11" t="s">
        <v>680</v>
      </c>
      <c r="C134" s="11" t="s">
        <v>683</v>
      </c>
      <c r="D134" s="11" t="s">
        <v>343</v>
      </c>
      <c r="E134" s="11"/>
      <c r="F134" s="11"/>
      <c r="G134" s="11" t="s">
        <v>75</v>
      </c>
      <c r="H134" s="11"/>
      <c r="I134" s="12" t="s">
        <v>42</v>
      </c>
      <c r="J134" s="11"/>
      <c r="K134" s="13" t="n">
        <v>0</v>
      </c>
      <c r="L134" s="13"/>
      <c r="M134" s="12" t="s">
        <v>42</v>
      </c>
      <c r="N134" s="12" t="s">
        <v>42</v>
      </c>
      <c r="O134" s="11"/>
      <c r="P134" s="11" t="s">
        <v>684</v>
      </c>
    </row>
    <row r="135" customFormat="false" ht="46.25" hidden="false" customHeight="false" outlineLevel="0" collapsed="false">
      <c r="A135" s="11" t="s">
        <v>679</v>
      </c>
      <c r="B135" s="11" t="s">
        <v>680</v>
      </c>
      <c r="C135" s="11" t="s">
        <v>685</v>
      </c>
      <c r="D135" s="11" t="s">
        <v>343</v>
      </c>
      <c r="E135" s="11"/>
      <c r="F135" s="11"/>
      <c r="G135" s="11" t="s">
        <v>231</v>
      </c>
      <c r="H135" s="11"/>
      <c r="I135" s="12" t="s">
        <v>42</v>
      </c>
      <c r="J135" s="11"/>
      <c r="K135" s="13" t="n">
        <v>0</v>
      </c>
      <c r="L135" s="13"/>
      <c r="M135" s="12" t="s">
        <v>42</v>
      </c>
      <c r="N135" s="12" t="s">
        <v>42</v>
      </c>
      <c r="O135" s="11" t="s">
        <v>227</v>
      </c>
      <c r="P135" s="11" t="s">
        <v>686</v>
      </c>
    </row>
    <row r="136" customFormat="false" ht="46.25" hidden="false" customHeight="false" outlineLevel="0" collapsed="false">
      <c r="A136" s="11" t="s">
        <v>679</v>
      </c>
      <c r="B136" s="11" t="s">
        <v>687</v>
      </c>
      <c r="C136" s="11" t="s">
        <v>688</v>
      </c>
      <c r="D136" s="11" t="s">
        <v>211</v>
      </c>
      <c r="E136" s="11"/>
      <c r="F136" s="11"/>
      <c r="G136" s="11" t="s">
        <v>274</v>
      </c>
      <c r="H136" s="11"/>
      <c r="I136" s="12" t="s">
        <v>42</v>
      </c>
      <c r="J136" s="11"/>
      <c r="K136" s="13" t="n">
        <v>960</v>
      </c>
      <c r="L136" s="13"/>
      <c r="M136" s="12" t="s">
        <v>42</v>
      </c>
      <c r="N136" s="12" t="s">
        <v>42</v>
      </c>
      <c r="O136" s="11"/>
      <c r="P136" s="11" t="s">
        <v>689</v>
      </c>
    </row>
    <row r="137" customFormat="false" ht="46.25" hidden="false" customHeight="false" outlineLevel="0" collapsed="false">
      <c r="A137" s="11" t="s">
        <v>679</v>
      </c>
      <c r="B137" s="11" t="s">
        <v>687</v>
      </c>
      <c r="C137" s="11" t="s">
        <v>688</v>
      </c>
      <c r="D137" s="11" t="s">
        <v>343</v>
      </c>
      <c r="E137" s="11"/>
      <c r="F137" s="11"/>
      <c r="G137" s="11" t="s">
        <v>157</v>
      </c>
      <c r="H137" s="11"/>
      <c r="I137" s="12" t="s">
        <v>42</v>
      </c>
      <c r="J137" s="11"/>
      <c r="K137" s="13" t="n">
        <v>0</v>
      </c>
      <c r="L137" s="13"/>
      <c r="M137" s="12" t="s">
        <v>42</v>
      </c>
      <c r="N137" s="12" t="s">
        <v>42</v>
      </c>
      <c r="O137" s="11" t="s">
        <v>158</v>
      </c>
      <c r="P137" s="11" t="s">
        <v>689</v>
      </c>
    </row>
    <row r="138" customFormat="false" ht="46.25" hidden="false" customHeight="false" outlineLevel="0" collapsed="false">
      <c r="A138" s="11" t="s">
        <v>679</v>
      </c>
      <c r="B138" s="11" t="s">
        <v>690</v>
      </c>
      <c r="C138" s="11" t="s">
        <v>691</v>
      </c>
      <c r="D138" s="11" t="s">
        <v>343</v>
      </c>
      <c r="E138" s="11"/>
      <c r="F138" s="11"/>
      <c r="G138" s="11" t="s">
        <v>50</v>
      </c>
      <c r="H138" s="11"/>
      <c r="I138" s="12" t="s">
        <v>42</v>
      </c>
      <c r="J138" s="11"/>
      <c r="K138" s="13" t="n">
        <v>540</v>
      </c>
      <c r="L138" s="13"/>
      <c r="M138" s="12" t="s">
        <v>42</v>
      </c>
      <c r="N138" s="12" t="s">
        <v>42</v>
      </c>
      <c r="O138" s="11" t="s">
        <v>51</v>
      </c>
      <c r="P138" s="11" t="s">
        <v>692</v>
      </c>
    </row>
    <row r="139" customFormat="false" ht="46.25" hidden="false" customHeight="false" outlineLevel="0" collapsed="false">
      <c r="A139" s="11" t="s">
        <v>679</v>
      </c>
      <c r="B139" s="11" t="s">
        <v>693</v>
      </c>
      <c r="C139" s="11" t="s">
        <v>694</v>
      </c>
      <c r="D139" s="11" t="s">
        <v>343</v>
      </c>
      <c r="E139" s="11"/>
      <c r="F139" s="11"/>
      <c r="G139" s="11" t="s">
        <v>151</v>
      </c>
      <c r="H139" s="11"/>
      <c r="I139" s="12" t="s">
        <v>42</v>
      </c>
      <c r="J139" s="11"/>
      <c r="K139" s="13" t="n">
        <v>1810</v>
      </c>
      <c r="L139" s="13"/>
      <c r="M139" s="12" t="s">
        <v>42</v>
      </c>
      <c r="N139" s="12" t="s">
        <v>42</v>
      </c>
      <c r="O139" s="11"/>
      <c r="P139" s="11" t="s">
        <v>695</v>
      </c>
    </row>
    <row r="140" customFormat="false" ht="46.25" hidden="false" customHeight="false" outlineLevel="0" collapsed="false">
      <c r="A140" s="11" t="s">
        <v>679</v>
      </c>
      <c r="B140" s="11" t="s">
        <v>693</v>
      </c>
      <c r="C140" s="11" t="s">
        <v>696</v>
      </c>
      <c r="D140" s="11" t="s">
        <v>343</v>
      </c>
      <c r="E140" s="11"/>
      <c r="F140" s="11"/>
      <c r="G140" s="11" t="s">
        <v>50</v>
      </c>
      <c r="H140" s="11"/>
      <c r="I140" s="12" t="s">
        <v>42</v>
      </c>
      <c r="J140" s="11"/>
      <c r="K140" s="13" t="n">
        <v>0</v>
      </c>
      <c r="L140" s="13"/>
      <c r="M140" s="12" t="s">
        <v>42</v>
      </c>
      <c r="N140" s="12" t="s">
        <v>42</v>
      </c>
      <c r="O140" s="11" t="s">
        <v>51</v>
      </c>
      <c r="P140" s="11" t="s">
        <v>697</v>
      </c>
    </row>
    <row r="141" customFormat="false" ht="46.25" hidden="false" customHeight="false" outlineLevel="0" collapsed="false">
      <c r="A141" s="11" t="s">
        <v>679</v>
      </c>
      <c r="B141" s="11" t="s">
        <v>693</v>
      </c>
      <c r="C141" s="11" t="s">
        <v>698</v>
      </c>
      <c r="D141" s="11" t="s">
        <v>343</v>
      </c>
      <c r="E141" s="11"/>
      <c r="F141" s="11"/>
      <c r="G141" s="11" t="s">
        <v>160</v>
      </c>
      <c r="H141" s="11"/>
      <c r="I141" s="12" t="s">
        <v>42</v>
      </c>
      <c r="J141" s="11"/>
      <c r="K141" s="13" t="n">
        <v>1510</v>
      </c>
      <c r="L141" s="13"/>
      <c r="M141" s="12" t="s">
        <v>42</v>
      </c>
      <c r="N141" s="12" t="s">
        <v>42</v>
      </c>
      <c r="O141" s="11"/>
      <c r="P141" s="11" t="s">
        <v>699</v>
      </c>
    </row>
    <row r="142" customFormat="false" ht="57.45" hidden="false" customHeight="false" outlineLevel="0" collapsed="false">
      <c r="A142" s="11" t="s">
        <v>679</v>
      </c>
      <c r="B142" s="11" t="s">
        <v>693</v>
      </c>
      <c r="C142" s="11" t="s">
        <v>700</v>
      </c>
      <c r="D142" s="11" t="s">
        <v>211</v>
      </c>
      <c r="E142" s="11"/>
      <c r="F142" s="11"/>
      <c r="G142" s="11" t="s">
        <v>205</v>
      </c>
      <c r="H142" s="11"/>
      <c r="I142" s="12" t="s">
        <v>42</v>
      </c>
      <c r="J142" s="11"/>
      <c r="K142" s="13" t="n">
        <v>900</v>
      </c>
      <c r="L142" s="13"/>
      <c r="M142" s="12" t="s">
        <v>42</v>
      </c>
      <c r="N142" s="12" t="s">
        <v>42</v>
      </c>
      <c r="O142" s="11"/>
      <c r="P142" s="11" t="s">
        <v>701</v>
      </c>
    </row>
    <row r="143" customFormat="false" ht="91" hidden="false" customHeight="false" outlineLevel="0" collapsed="false">
      <c r="A143" s="11" t="s">
        <v>679</v>
      </c>
      <c r="B143" s="11" t="s">
        <v>693</v>
      </c>
      <c r="C143" s="11" t="s">
        <v>700</v>
      </c>
      <c r="D143" s="11" t="s">
        <v>343</v>
      </c>
      <c r="E143" s="11"/>
      <c r="F143" s="11"/>
      <c r="G143" s="11" t="s">
        <v>241</v>
      </c>
      <c r="H143" s="11"/>
      <c r="I143" s="12" t="s">
        <v>42</v>
      </c>
      <c r="J143" s="11"/>
      <c r="K143" s="13" t="n">
        <v>0</v>
      </c>
      <c r="L143" s="13"/>
      <c r="M143" s="12" t="s">
        <v>42</v>
      </c>
      <c r="N143" s="12" t="s">
        <v>42</v>
      </c>
      <c r="O143" s="11" t="s">
        <v>227</v>
      </c>
      <c r="P143" s="11" t="s">
        <v>701</v>
      </c>
    </row>
    <row r="144" customFormat="false" ht="46.25" hidden="false" customHeight="false" outlineLevel="0" collapsed="false">
      <c r="A144" s="11" t="s">
        <v>679</v>
      </c>
      <c r="B144" s="11" t="s">
        <v>693</v>
      </c>
      <c r="C144" s="11" t="s">
        <v>702</v>
      </c>
      <c r="D144" s="11" t="s">
        <v>343</v>
      </c>
      <c r="E144" s="11"/>
      <c r="F144" s="11"/>
      <c r="G144" s="11" t="s">
        <v>153</v>
      </c>
      <c r="H144" s="11"/>
      <c r="I144" s="12" t="s">
        <v>42</v>
      </c>
      <c r="J144" s="11"/>
      <c r="K144" s="13" t="n">
        <v>1810</v>
      </c>
      <c r="L144" s="13"/>
      <c r="M144" s="12" t="s">
        <v>42</v>
      </c>
      <c r="N144" s="12" t="s">
        <v>42</v>
      </c>
      <c r="O144" s="11"/>
      <c r="P144" s="11" t="s">
        <v>703</v>
      </c>
    </row>
    <row r="145" customFormat="false" ht="46.25" hidden="false" customHeight="false" outlineLevel="0" collapsed="false">
      <c r="A145" s="11" t="s">
        <v>679</v>
      </c>
      <c r="B145" s="11" t="s">
        <v>693</v>
      </c>
      <c r="C145" s="11" t="s">
        <v>704</v>
      </c>
      <c r="D145" s="11" t="s">
        <v>343</v>
      </c>
      <c r="E145" s="11"/>
      <c r="F145" s="11"/>
      <c r="G145" s="11" t="s">
        <v>50</v>
      </c>
      <c r="H145" s="11"/>
      <c r="I145" s="12" t="s">
        <v>42</v>
      </c>
      <c r="J145" s="11"/>
      <c r="K145" s="13" t="n">
        <v>540</v>
      </c>
      <c r="L145" s="13"/>
      <c r="M145" s="12" t="s">
        <v>42</v>
      </c>
      <c r="N145" s="12" t="s">
        <v>42</v>
      </c>
      <c r="O145" s="11" t="s">
        <v>51</v>
      </c>
      <c r="P145" s="11" t="s">
        <v>705</v>
      </c>
    </row>
    <row r="146" customFormat="false" ht="46.25" hidden="false" customHeight="false" outlineLevel="0" collapsed="false">
      <c r="A146" s="11" t="s">
        <v>679</v>
      </c>
      <c r="B146" s="11" t="s">
        <v>693</v>
      </c>
      <c r="C146" s="11" t="s">
        <v>706</v>
      </c>
      <c r="D146" s="11" t="s">
        <v>343</v>
      </c>
      <c r="E146" s="11"/>
      <c r="F146" s="11"/>
      <c r="G146" s="11" t="s">
        <v>131</v>
      </c>
      <c r="H146" s="11"/>
      <c r="I146" s="12" t="s">
        <v>42</v>
      </c>
      <c r="J146" s="11"/>
      <c r="K146" s="13"/>
      <c r="L146" s="13"/>
      <c r="M146" s="12" t="s">
        <v>42</v>
      </c>
      <c r="N146" s="12" t="s">
        <v>42</v>
      </c>
      <c r="O146" s="11"/>
      <c r="P146" s="11" t="s">
        <v>707</v>
      </c>
    </row>
    <row r="147" customFormat="false" ht="46.25" hidden="false" customHeight="false" outlineLevel="0" collapsed="false">
      <c r="A147" s="11" t="s">
        <v>679</v>
      </c>
      <c r="B147" s="11" t="s">
        <v>708</v>
      </c>
      <c r="C147" s="11" t="s">
        <v>709</v>
      </c>
      <c r="D147" s="11" t="s">
        <v>343</v>
      </c>
      <c r="E147" s="11"/>
      <c r="F147" s="11"/>
      <c r="G147" s="11" t="s">
        <v>129</v>
      </c>
      <c r="H147" s="11"/>
      <c r="I147" s="12" t="s">
        <v>42</v>
      </c>
      <c r="J147" s="11"/>
      <c r="K147" s="13" t="n">
        <v>720</v>
      </c>
      <c r="L147" s="13"/>
      <c r="M147" s="12" t="s">
        <v>42</v>
      </c>
      <c r="N147" s="12" t="s">
        <v>42</v>
      </c>
      <c r="O147" s="11"/>
      <c r="P147" s="11" t="s">
        <v>710</v>
      </c>
    </row>
    <row r="148" customFormat="false" ht="46.25" hidden="false" customHeight="false" outlineLevel="0" collapsed="false">
      <c r="A148" s="11" t="s">
        <v>679</v>
      </c>
      <c r="B148" s="11" t="s">
        <v>711</v>
      </c>
      <c r="C148" s="11" t="s">
        <v>712</v>
      </c>
      <c r="D148" s="11" t="s">
        <v>343</v>
      </c>
      <c r="E148" s="11"/>
      <c r="F148" s="11"/>
      <c r="G148" s="11" t="s">
        <v>50</v>
      </c>
      <c r="H148" s="11"/>
      <c r="I148" s="12" t="s">
        <v>42</v>
      </c>
      <c r="J148" s="11"/>
      <c r="K148" s="13" t="n">
        <v>540</v>
      </c>
      <c r="L148" s="13"/>
      <c r="M148" s="12" t="s">
        <v>42</v>
      </c>
      <c r="N148" s="12" t="s">
        <v>42</v>
      </c>
      <c r="O148" s="11" t="s">
        <v>51</v>
      </c>
      <c r="P148" s="11" t="s">
        <v>713</v>
      </c>
    </row>
    <row r="149" customFormat="false" ht="46.25" hidden="false" customHeight="false" outlineLevel="0" collapsed="false">
      <c r="A149" s="11" t="s">
        <v>679</v>
      </c>
      <c r="B149" s="11" t="s">
        <v>711</v>
      </c>
      <c r="C149" s="11" t="s">
        <v>714</v>
      </c>
      <c r="D149" s="11" t="s">
        <v>343</v>
      </c>
      <c r="E149" s="11"/>
      <c r="F149" s="11"/>
      <c r="G149" s="11" t="s">
        <v>65</v>
      </c>
      <c r="H149" s="11"/>
      <c r="I149" s="12" t="s">
        <v>42</v>
      </c>
      <c r="J149" s="11"/>
      <c r="K149" s="13" t="n">
        <v>900</v>
      </c>
      <c r="L149" s="13"/>
      <c r="M149" s="12" t="s">
        <v>42</v>
      </c>
      <c r="N149" s="12" t="s">
        <v>42</v>
      </c>
      <c r="O149" s="11"/>
      <c r="P149" s="11" t="s">
        <v>715</v>
      </c>
    </row>
    <row r="150" customFormat="false" ht="46.25" hidden="false" customHeight="false" outlineLevel="0" collapsed="false">
      <c r="A150" s="11" t="s">
        <v>679</v>
      </c>
      <c r="B150" s="11" t="s">
        <v>711</v>
      </c>
      <c r="C150" s="11" t="s">
        <v>716</v>
      </c>
      <c r="D150" s="11" t="s">
        <v>211</v>
      </c>
      <c r="E150" s="11"/>
      <c r="F150" s="11"/>
      <c r="G150" s="11" t="s">
        <v>222</v>
      </c>
      <c r="H150" s="11"/>
      <c r="I150" s="12" t="s">
        <v>42</v>
      </c>
      <c r="J150" s="11"/>
      <c r="K150" s="13" t="n">
        <v>450</v>
      </c>
      <c r="L150" s="13"/>
      <c r="M150" s="12" t="s">
        <v>42</v>
      </c>
      <c r="N150" s="12" t="s">
        <v>42</v>
      </c>
      <c r="O150" s="11"/>
      <c r="P150" s="11" t="s">
        <v>717</v>
      </c>
    </row>
    <row r="151" customFormat="false" ht="102.2" hidden="false" customHeight="false" outlineLevel="0" collapsed="false">
      <c r="A151" s="11" t="s">
        <v>679</v>
      </c>
      <c r="B151" s="11" t="s">
        <v>711</v>
      </c>
      <c r="C151" s="11" t="s">
        <v>716</v>
      </c>
      <c r="D151" s="11" t="s">
        <v>343</v>
      </c>
      <c r="E151" s="11"/>
      <c r="F151" s="11"/>
      <c r="G151" s="11" t="s">
        <v>233</v>
      </c>
      <c r="H151" s="11"/>
      <c r="I151" s="12" t="s">
        <v>42</v>
      </c>
      <c r="J151" s="11"/>
      <c r="K151" s="13" t="n">
        <v>0</v>
      </c>
      <c r="L151" s="13"/>
      <c r="M151" s="12" t="s">
        <v>42</v>
      </c>
      <c r="N151" s="12" t="s">
        <v>42</v>
      </c>
      <c r="O151" s="11" t="s">
        <v>227</v>
      </c>
      <c r="P151" s="11" t="s">
        <v>717</v>
      </c>
    </row>
    <row r="152" customFormat="false" ht="46.25" hidden="false" customHeight="false" outlineLevel="0" collapsed="false">
      <c r="A152" s="11" t="s">
        <v>679</v>
      </c>
      <c r="B152" s="11" t="s">
        <v>711</v>
      </c>
      <c r="C152" s="11" t="s">
        <v>718</v>
      </c>
      <c r="D152" s="11" t="s">
        <v>343</v>
      </c>
      <c r="E152" s="11"/>
      <c r="F152" s="11"/>
      <c r="G152" s="11" t="s">
        <v>63</v>
      </c>
      <c r="H152" s="11"/>
      <c r="I152" s="12" t="s">
        <v>42</v>
      </c>
      <c r="J152" s="11"/>
      <c r="K152" s="13" t="n">
        <v>720</v>
      </c>
      <c r="L152" s="13"/>
      <c r="M152" s="12" t="s">
        <v>42</v>
      </c>
      <c r="N152" s="12" t="s">
        <v>42</v>
      </c>
      <c r="O152" s="11"/>
      <c r="P152" s="11" t="s">
        <v>719</v>
      </c>
    </row>
    <row r="153" customFormat="false" ht="46.25" hidden="false" customHeight="false" outlineLevel="0" collapsed="false">
      <c r="A153" s="11" t="s">
        <v>679</v>
      </c>
      <c r="B153" s="11" t="s">
        <v>720</v>
      </c>
      <c r="C153" s="11" t="s">
        <v>721</v>
      </c>
      <c r="D153" s="11" t="s">
        <v>343</v>
      </c>
      <c r="E153" s="11"/>
      <c r="F153" s="11"/>
      <c r="G153" s="11" t="s">
        <v>116</v>
      </c>
      <c r="H153" s="11"/>
      <c r="I153" s="12" t="s">
        <v>42</v>
      </c>
      <c r="J153" s="11"/>
      <c r="K153" s="13" t="n">
        <v>1810</v>
      </c>
      <c r="L153" s="13"/>
      <c r="M153" s="12" t="s">
        <v>42</v>
      </c>
      <c r="N153" s="12" t="s">
        <v>42</v>
      </c>
      <c r="O153" s="11"/>
      <c r="P153" s="11" t="s">
        <v>722</v>
      </c>
    </row>
    <row r="154" customFormat="false" ht="46.25" hidden="false" customHeight="false" outlineLevel="0" collapsed="false">
      <c r="A154" s="11" t="s">
        <v>679</v>
      </c>
      <c r="B154" s="11" t="s">
        <v>723</v>
      </c>
      <c r="C154" s="11" t="s">
        <v>724</v>
      </c>
      <c r="D154" s="11" t="s">
        <v>343</v>
      </c>
      <c r="E154" s="11"/>
      <c r="F154" s="11"/>
      <c r="G154" s="11" t="s">
        <v>50</v>
      </c>
      <c r="H154" s="11"/>
      <c r="I154" s="12" t="s">
        <v>42</v>
      </c>
      <c r="J154" s="11"/>
      <c r="K154" s="13" t="n">
        <v>0</v>
      </c>
      <c r="L154" s="13"/>
      <c r="M154" s="12" t="s">
        <v>42</v>
      </c>
      <c r="N154" s="12" t="s">
        <v>42</v>
      </c>
      <c r="O154" s="11" t="s">
        <v>51</v>
      </c>
      <c r="P154" s="11" t="s">
        <v>725</v>
      </c>
    </row>
    <row r="155" customFormat="false" ht="46.25" hidden="false" customHeight="false" outlineLevel="0" collapsed="false">
      <c r="A155" s="11" t="s">
        <v>679</v>
      </c>
      <c r="B155" s="11" t="s">
        <v>723</v>
      </c>
      <c r="C155" s="11" t="s">
        <v>726</v>
      </c>
      <c r="D155" s="11" t="s">
        <v>343</v>
      </c>
      <c r="E155" s="11"/>
      <c r="F155" s="11"/>
      <c r="G155" s="11" t="s">
        <v>118</v>
      </c>
      <c r="H155" s="11"/>
      <c r="I155" s="12" t="s">
        <v>42</v>
      </c>
      <c r="J155" s="11"/>
      <c r="K155" s="13" t="n">
        <v>0</v>
      </c>
      <c r="L155" s="13"/>
      <c r="M155" s="12" t="s">
        <v>42</v>
      </c>
      <c r="N155" s="12" t="s">
        <v>42</v>
      </c>
      <c r="O155" s="11"/>
      <c r="P155" s="11" t="s">
        <v>727</v>
      </c>
    </row>
    <row r="156" customFormat="false" ht="46.25" hidden="false" customHeight="false" outlineLevel="0" collapsed="false">
      <c r="A156" s="11" t="s">
        <v>679</v>
      </c>
      <c r="B156" s="11" t="s">
        <v>728</v>
      </c>
      <c r="C156" s="11" t="s">
        <v>729</v>
      </c>
      <c r="D156" s="11" t="s">
        <v>343</v>
      </c>
      <c r="E156" s="11"/>
      <c r="F156" s="11"/>
      <c r="G156" s="11" t="s">
        <v>47</v>
      </c>
      <c r="H156" s="11"/>
      <c r="I156" s="12" t="s">
        <v>42</v>
      </c>
      <c r="J156" s="11"/>
      <c r="K156" s="13" t="n">
        <v>1450</v>
      </c>
      <c r="L156" s="13"/>
      <c r="M156" s="12" t="s">
        <v>42</v>
      </c>
      <c r="N156" s="12" t="s">
        <v>42</v>
      </c>
      <c r="O156" s="11"/>
      <c r="P156" s="11" t="s">
        <v>730</v>
      </c>
    </row>
    <row r="157" customFormat="false" ht="46.25" hidden="false" customHeight="false" outlineLevel="0" collapsed="false">
      <c r="A157" s="11" t="s">
        <v>731</v>
      </c>
      <c r="B157" s="11" t="s">
        <v>732</v>
      </c>
      <c r="C157" s="11" t="s">
        <v>733</v>
      </c>
      <c r="D157" s="11" t="s">
        <v>343</v>
      </c>
      <c r="E157" s="11"/>
      <c r="F157" s="11"/>
      <c r="G157" s="11" t="s">
        <v>50</v>
      </c>
      <c r="H157" s="11"/>
      <c r="I157" s="12" t="s">
        <v>42</v>
      </c>
      <c r="J157" s="11"/>
      <c r="K157" s="13" t="n">
        <v>540</v>
      </c>
      <c r="L157" s="13"/>
      <c r="M157" s="12" t="s">
        <v>42</v>
      </c>
      <c r="N157" s="12" t="s">
        <v>42</v>
      </c>
      <c r="O157" s="11" t="s">
        <v>51</v>
      </c>
      <c r="P157" s="11" t="s">
        <v>734</v>
      </c>
    </row>
    <row r="158" customFormat="false" ht="46.25" hidden="false" customHeight="false" outlineLevel="0" collapsed="false">
      <c r="A158" s="11" t="s">
        <v>731</v>
      </c>
      <c r="B158" s="11" t="s">
        <v>735</v>
      </c>
      <c r="C158" s="11" t="s">
        <v>736</v>
      </c>
      <c r="D158" s="11" t="s">
        <v>343</v>
      </c>
      <c r="E158" s="11"/>
      <c r="F158" s="11"/>
      <c r="G158" s="11" t="s">
        <v>50</v>
      </c>
      <c r="H158" s="11"/>
      <c r="I158" s="12" t="s">
        <v>42</v>
      </c>
      <c r="J158" s="11"/>
      <c r="K158" s="13" t="n">
        <v>0</v>
      </c>
      <c r="L158" s="13"/>
      <c r="M158" s="12" t="s">
        <v>42</v>
      </c>
      <c r="N158" s="12" t="s">
        <v>42</v>
      </c>
      <c r="O158" s="11" t="s">
        <v>51</v>
      </c>
      <c r="P158" s="11" t="s">
        <v>737</v>
      </c>
    </row>
    <row r="159" customFormat="false" ht="46.25" hidden="false" customHeight="false" outlineLevel="0" collapsed="false">
      <c r="A159" s="11" t="s">
        <v>731</v>
      </c>
      <c r="B159" s="11" t="s">
        <v>735</v>
      </c>
      <c r="C159" s="11" t="s">
        <v>738</v>
      </c>
      <c r="D159" s="11" t="s">
        <v>343</v>
      </c>
      <c r="E159" s="11"/>
      <c r="F159" s="11"/>
      <c r="G159" s="11" t="s">
        <v>111</v>
      </c>
      <c r="H159" s="11"/>
      <c r="I159" s="12" t="s">
        <v>42</v>
      </c>
      <c r="J159" s="11"/>
      <c r="K159" s="13" t="n">
        <v>0</v>
      </c>
      <c r="L159" s="13"/>
      <c r="M159" s="12" t="s">
        <v>42</v>
      </c>
      <c r="N159" s="12" t="s">
        <v>42</v>
      </c>
      <c r="O159" s="11" t="s">
        <v>112</v>
      </c>
      <c r="P159" s="11" t="s">
        <v>739</v>
      </c>
    </row>
    <row r="160" customFormat="false" ht="170.85" hidden="false" customHeight="false" outlineLevel="0" collapsed="false">
      <c r="A160" s="11" t="s">
        <v>731</v>
      </c>
      <c r="B160" s="11" t="s">
        <v>735</v>
      </c>
      <c r="C160" s="11" t="s">
        <v>740</v>
      </c>
      <c r="D160" s="11" t="s">
        <v>343</v>
      </c>
      <c r="E160" s="11"/>
      <c r="F160" s="11"/>
      <c r="G160" s="11" t="s">
        <v>108</v>
      </c>
      <c r="H160" s="11"/>
      <c r="I160" s="12" t="s">
        <v>42</v>
      </c>
      <c r="J160" s="11"/>
      <c r="K160" s="13" t="n">
        <v>1690</v>
      </c>
      <c r="L160" s="13"/>
      <c r="M160" s="12" t="s">
        <v>42</v>
      </c>
      <c r="N160" s="12" t="s">
        <v>42</v>
      </c>
      <c r="O160" s="11" t="s">
        <v>109</v>
      </c>
      <c r="P160" s="11" t="s">
        <v>741</v>
      </c>
    </row>
    <row r="161" customFormat="false" ht="46.25" hidden="false" customHeight="false" outlineLevel="0" collapsed="false">
      <c r="A161" s="11" t="s">
        <v>731</v>
      </c>
      <c r="B161" s="11" t="s">
        <v>742</v>
      </c>
      <c r="C161" s="11" t="s">
        <v>743</v>
      </c>
      <c r="D161" s="11" t="s">
        <v>343</v>
      </c>
      <c r="E161" s="11"/>
      <c r="F161" s="11" t="s">
        <v>92</v>
      </c>
      <c r="G161" s="11" t="s">
        <v>120</v>
      </c>
      <c r="H161" s="11"/>
      <c r="I161" s="12" t="s">
        <v>42</v>
      </c>
      <c r="J161" s="11"/>
      <c r="K161" s="13" t="n">
        <v>720</v>
      </c>
      <c r="L161" s="13"/>
      <c r="M161" s="12" t="s">
        <v>42</v>
      </c>
      <c r="N161" s="12" t="s">
        <v>42</v>
      </c>
      <c r="O161" s="11"/>
      <c r="P161" s="11" t="s">
        <v>744</v>
      </c>
    </row>
    <row r="162" customFormat="false" ht="68.65" hidden="false" customHeight="false" outlineLevel="0" collapsed="false">
      <c r="A162" s="11" t="s">
        <v>731</v>
      </c>
      <c r="B162" s="11" t="s">
        <v>742</v>
      </c>
      <c r="C162" s="11" t="s">
        <v>745</v>
      </c>
      <c r="D162" s="11" t="s">
        <v>343</v>
      </c>
      <c r="E162" s="11"/>
      <c r="F162" s="11"/>
      <c r="G162" s="11" t="s">
        <v>179</v>
      </c>
      <c r="H162" s="11"/>
      <c r="I162" s="12" t="s">
        <v>42</v>
      </c>
      <c r="J162" s="11"/>
      <c r="K162" s="13" t="n">
        <v>1810</v>
      </c>
      <c r="L162" s="13"/>
      <c r="M162" s="12" t="s">
        <v>42</v>
      </c>
      <c r="N162" s="12" t="s">
        <v>42</v>
      </c>
      <c r="O162" s="11" t="s">
        <v>180</v>
      </c>
      <c r="P162" s="11" t="s">
        <v>746</v>
      </c>
    </row>
    <row r="163" customFormat="false" ht="46.25" hidden="false" customHeight="false" outlineLevel="0" collapsed="false">
      <c r="A163" s="11" t="s">
        <v>731</v>
      </c>
      <c r="B163" s="11" t="s">
        <v>742</v>
      </c>
      <c r="C163" s="11" t="s">
        <v>747</v>
      </c>
      <c r="D163" s="11" t="s">
        <v>343</v>
      </c>
      <c r="E163" s="11"/>
      <c r="F163" s="11"/>
      <c r="G163" s="11" t="s">
        <v>282</v>
      </c>
      <c r="H163" s="11"/>
      <c r="I163" s="12" t="s">
        <v>42</v>
      </c>
      <c r="J163" s="11"/>
      <c r="K163" s="13" t="n">
        <v>720</v>
      </c>
      <c r="L163" s="13"/>
      <c r="M163" s="12" t="s">
        <v>42</v>
      </c>
      <c r="N163" s="12" t="s">
        <v>42</v>
      </c>
      <c r="O163" s="11"/>
      <c r="P163" s="11" t="s">
        <v>748</v>
      </c>
    </row>
    <row r="164" customFormat="false" ht="46.25" hidden="false" customHeight="false" outlineLevel="0" collapsed="false">
      <c r="A164" s="11" t="s">
        <v>731</v>
      </c>
      <c r="B164" s="11" t="s">
        <v>749</v>
      </c>
      <c r="C164" s="11" t="s">
        <v>750</v>
      </c>
      <c r="D164" s="11" t="s">
        <v>343</v>
      </c>
      <c r="E164" s="11"/>
      <c r="F164" s="11"/>
      <c r="G164" s="11" t="s">
        <v>50</v>
      </c>
      <c r="H164" s="11"/>
      <c r="I164" s="12" t="s">
        <v>42</v>
      </c>
      <c r="J164" s="11"/>
      <c r="K164" s="13" t="n">
        <v>0</v>
      </c>
      <c r="L164" s="13"/>
      <c r="M164" s="12" t="s">
        <v>42</v>
      </c>
      <c r="N164" s="12" t="s">
        <v>42</v>
      </c>
      <c r="O164" s="11" t="s">
        <v>51</v>
      </c>
      <c r="P164" s="11" t="s">
        <v>751</v>
      </c>
    </row>
    <row r="165" customFormat="false" ht="46.25" hidden="false" customHeight="false" outlineLevel="0" collapsed="false">
      <c r="A165" s="11" t="s">
        <v>731</v>
      </c>
      <c r="B165" s="11" t="s">
        <v>749</v>
      </c>
      <c r="C165" s="11" t="s">
        <v>752</v>
      </c>
      <c r="D165" s="11" t="s">
        <v>343</v>
      </c>
      <c r="E165" s="11"/>
      <c r="F165" s="11"/>
      <c r="G165" s="11" t="s">
        <v>188</v>
      </c>
      <c r="H165" s="11"/>
      <c r="I165" s="12" t="s">
        <v>42</v>
      </c>
      <c r="J165" s="11"/>
      <c r="K165" s="13" t="n">
        <v>0</v>
      </c>
      <c r="L165" s="13"/>
      <c r="M165" s="12" t="s">
        <v>42</v>
      </c>
      <c r="N165" s="12" t="s">
        <v>42</v>
      </c>
      <c r="O165" s="11" t="s">
        <v>189</v>
      </c>
      <c r="P165" s="11" t="s">
        <v>753</v>
      </c>
    </row>
    <row r="166" customFormat="false" ht="35.05" hidden="false" customHeight="false" outlineLevel="0" collapsed="false">
      <c r="A166" s="11" t="s">
        <v>731</v>
      </c>
      <c r="B166" s="11" t="s">
        <v>749</v>
      </c>
      <c r="C166" s="11" t="s">
        <v>754</v>
      </c>
      <c r="D166" s="11" t="s">
        <v>343</v>
      </c>
      <c r="E166" s="11"/>
      <c r="F166" s="11"/>
      <c r="G166" s="11" t="s">
        <v>50</v>
      </c>
      <c r="H166" s="11"/>
      <c r="I166" s="12" t="s">
        <v>42</v>
      </c>
      <c r="J166" s="11"/>
      <c r="K166" s="13" t="n">
        <v>540</v>
      </c>
      <c r="L166" s="13"/>
      <c r="M166" s="12" t="s">
        <v>42</v>
      </c>
      <c r="N166" s="12" t="s">
        <v>42</v>
      </c>
      <c r="O166" s="11" t="s">
        <v>51</v>
      </c>
      <c r="P166" s="11" t="s">
        <v>755</v>
      </c>
    </row>
    <row r="167" customFormat="false" ht="46.25" hidden="false" customHeight="false" outlineLevel="0" collapsed="false">
      <c r="A167" s="11" t="s">
        <v>731</v>
      </c>
      <c r="B167" s="11" t="s">
        <v>749</v>
      </c>
      <c r="C167" s="11" t="s">
        <v>756</v>
      </c>
      <c r="D167" s="11" t="s">
        <v>343</v>
      </c>
      <c r="E167" s="11"/>
      <c r="F167" s="11"/>
      <c r="G167" s="11" t="s">
        <v>50</v>
      </c>
      <c r="H167" s="11"/>
      <c r="I167" s="12" t="s">
        <v>42</v>
      </c>
      <c r="J167" s="11"/>
      <c r="K167" s="13" t="n">
        <v>0</v>
      </c>
      <c r="L167" s="13"/>
      <c r="M167" s="12" t="s">
        <v>42</v>
      </c>
      <c r="N167" s="12" t="s">
        <v>42</v>
      </c>
      <c r="O167" s="11" t="s">
        <v>51</v>
      </c>
      <c r="P167" s="11" t="s">
        <v>757</v>
      </c>
    </row>
    <row r="168" customFormat="false" ht="46.25" hidden="false" customHeight="false" outlineLevel="0" collapsed="false">
      <c r="A168" s="11" t="s">
        <v>731</v>
      </c>
      <c r="B168" s="11" t="s">
        <v>749</v>
      </c>
      <c r="C168" s="11" t="s">
        <v>758</v>
      </c>
      <c r="D168" s="11" t="s">
        <v>343</v>
      </c>
      <c r="E168" s="11"/>
      <c r="F168" s="11"/>
      <c r="G168" s="11" t="s">
        <v>50</v>
      </c>
      <c r="H168" s="11"/>
      <c r="I168" s="12" t="s">
        <v>42</v>
      </c>
      <c r="J168" s="11"/>
      <c r="K168" s="13" t="n">
        <v>540</v>
      </c>
      <c r="L168" s="13"/>
      <c r="M168" s="12" t="s">
        <v>42</v>
      </c>
      <c r="N168" s="12" t="s">
        <v>42</v>
      </c>
      <c r="O168" s="11" t="s">
        <v>51</v>
      </c>
      <c r="P168" s="11" t="s">
        <v>759</v>
      </c>
    </row>
    <row r="169" customFormat="false" ht="46.25" hidden="false" customHeight="false" outlineLevel="0" collapsed="false">
      <c r="A169" s="11" t="s">
        <v>731</v>
      </c>
      <c r="B169" s="11" t="s">
        <v>749</v>
      </c>
      <c r="C169" s="11" t="s">
        <v>760</v>
      </c>
      <c r="D169" s="11" t="s">
        <v>343</v>
      </c>
      <c r="E169" s="11"/>
      <c r="F169" s="11"/>
      <c r="G169" s="11" t="s">
        <v>122</v>
      </c>
      <c r="H169" s="11"/>
      <c r="I169" s="12" t="s">
        <v>42</v>
      </c>
      <c r="J169" s="11"/>
      <c r="K169" s="13" t="n">
        <v>1080</v>
      </c>
      <c r="L169" s="13"/>
      <c r="M169" s="12" t="s">
        <v>42</v>
      </c>
      <c r="N169" s="12" t="s">
        <v>42</v>
      </c>
      <c r="O169" s="11"/>
      <c r="P169" s="11" t="s">
        <v>761</v>
      </c>
    </row>
    <row r="170" customFormat="false" ht="46.25" hidden="false" customHeight="false" outlineLevel="0" collapsed="false">
      <c r="A170" s="11" t="s">
        <v>731</v>
      </c>
      <c r="B170" s="11" t="s">
        <v>749</v>
      </c>
      <c r="C170" s="11" t="s">
        <v>762</v>
      </c>
      <c r="D170" s="11" t="s">
        <v>343</v>
      </c>
      <c r="E170" s="11"/>
      <c r="F170" s="11"/>
      <c r="G170" s="11" t="s">
        <v>50</v>
      </c>
      <c r="H170" s="11"/>
      <c r="I170" s="12" t="s">
        <v>42</v>
      </c>
      <c r="J170" s="11"/>
      <c r="K170" s="13" t="n">
        <v>540</v>
      </c>
      <c r="L170" s="13"/>
      <c r="M170" s="12" t="s">
        <v>42</v>
      </c>
      <c r="N170" s="12" t="s">
        <v>42</v>
      </c>
      <c r="O170" s="11" t="s">
        <v>51</v>
      </c>
      <c r="P170" s="11" t="s">
        <v>763</v>
      </c>
    </row>
    <row r="171" customFormat="false" ht="46.25" hidden="false" customHeight="false" outlineLevel="0" collapsed="false">
      <c r="A171" s="11" t="s">
        <v>731</v>
      </c>
      <c r="B171" s="11" t="s">
        <v>749</v>
      </c>
      <c r="C171" s="11" t="s">
        <v>764</v>
      </c>
      <c r="D171" s="11" t="s">
        <v>343</v>
      </c>
      <c r="E171" s="11"/>
      <c r="F171" s="11"/>
      <c r="G171" s="11" t="s">
        <v>50</v>
      </c>
      <c r="H171" s="11"/>
      <c r="I171" s="12" t="s">
        <v>42</v>
      </c>
      <c r="J171" s="11"/>
      <c r="K171" s="13" t="n">
        <v>540</v>
      </c>
      <c r="L171" s="13"/>
      <c r="M171" s="12" t="s">
        <v>42</v>
      </c>
      <c r="N171" s="12" t="s">
        <v>42</v>
      </c>
      <c r="O171" s="11" t="s">
        <v>51</v>
      </c>
      <c r="P171" s="11" t="s">
        <v>765</v>
      </c>
    </row>
    <row r="172" customFormat="false" ht="46.25" hidden="false" customHeight="false" outlineLevel="0" collapsed="false">
      <c r="A172" s="11" t="s">
        <v>731</v>
      </c>
      <c r="B172" s="11" t="s">
        <v>766</v>
      </c>
      <c r="C172" s="11" t="s">
        <v>767</v>
      </c>
      <c r="D172" s="11" t="s">
        <v>343</v>
      </c>
      <c r="E172" s="11" t="s">
        <v>343</v>
      </c>
      <c r="F172" s="11" t="s">
        <v>92</v>
      </c>
      <c r="G172" s="11" t="s">
        <v>102</v>
      </c>
      <c r="H172" s="11" t="s">
        <v>342</v>
      </c>
      <c r="I172" s="12" t="s">
        <v>42</v>
      </c>
      <c r="J172" s="11"/>
      <c r="K172" s="13" t="n">
        <v>1450</v>
      </c>
      <c r="L172" s="13"/>
      <c r="M172" s="12" t="s">
        <v>42</v>
      </c>
      <c r="N172" s="12" t="s">
        <v>42</v>
      </c>
      <c r="O172" s="11"/>
      <c r="P172" s="11" t="s">
        <v>768</v>
      </c>
    </row>
    <row r="173" customFormat="false" ht="46.25" hidden="false" customHeight="false" outlineLevel="0" collapsed="false">
      <c r="A173" s="11" t="s">
        <v>731</v>
      </c>
      <c r="B173" s="11" t="s">
        <v>766</v>
      </c>
      <c r="C173" s="11" t="s">
        <v>769</v>
      </c>
      <c r="D173" s="11" t="s">
        <v>343</v>
      </c>
      <c r="E173" s="11"/>
      <c r="F173" s="11"/>
      <c r="G173" s="11" t="s">
        <v>104</v>
      </c>
      <c r="H173" s="11"/>
      <c r="I173" s="12" t="s">
        <v>42</v>
      </c>
      <c r="J173" s="11"/>
      <c r="K173" s="13" t="n">
        <v>720</v>
      </c>
      <c r="L173" s="13"/>
      <c r="M173" s="12" t="s">
        <v>42</v>
      </c>
      <c r="N173" s="12" t="s">
        <v>42</v>
      </c>
      <c r="O173" s="11"/>
      <c r="P173" s="11" t="s">
        <v>770</v>
      </c>
    </row>
    <row r="174" customFormat="false" ht="46.25" hidden="false" customHeight="false" outlineLevel="0" collapsed="false">
      <c r="A174" s="11" t="s">
        <v>731</v>
      </c>
      <c r="B174" s="11" t="s">
        <v>766</v>
      </c>
      <c r="C174" s="11" t="s">
        <v>771</v>
      </c>
      <c r="D174" s="11" t="s">
        <v>343</v>
      </c>
      <c r="E174" s="11"/>
      <c r="F174" s="11"/>
      <c r="G174" s="11" t="s">
        <v>104</v>
      </c>
      <c r="H174" s="11"/>
      <c r="I174" s="12" t="s">
        <v>42</v>
      </c>
      <c r="J174" s="11"/>
      <c r="K174" s="13" t="n">
        <v>540</v>
      </c>
      <c r="L174" s="13"/>
      <c r="M174" s="12" t="s">
        <v>42</v>
      </c>
      <c r="N174" s="12" t="s">
        <v>42</v>
      </c>
      <c r="O174" s="11"/>
      <c r="P174" s="11" t="s">
        <v>772</v>
      </c>
    </row>
    <row r="175" customFormat="false" ht="46.25" hidden="false" customHeight="false" outlineLevel="0" collapsed="false">
      <c r="A175" s="11" t="s">
        <v>731</v>
      </c>
      <c r="B175" s="11" t="s">
        <v>766</v>
      </c>
      <c r="C175" s="11" t="s">
        <v>773</v>
      </c>
      <c r="D175" s="11" t="s">
        <v>343</v>
      </c>
      <c r="E175" s="11"/>
      <c r="F175" s="11"/>
      <c r="G175" s="11" t="s">
        <v>133</v>
      </c>
      <c r="H175" s="11"/>
      <c r="I175" s="12" t="s">
        <v>42</v>
      </c>
      <c r="J175" s="11"/>
      <c r="K175" s="13" t="n">
        <v>0</v>
      </c>
      <c r="L175" s="13"/>
      <c r="M175" s="12" t="s">
        <v>42</v>
      </c>
      <c r="N175" s="12" t="s">
        <v>42</v>
      </c>
      <c r="O175" s="11"/>
      <c r="P175" s="11" t="s">
        <v>774</v>
      </c>
    </row>
    <row r="176" customFormat="false" ht="46.25" hidden="false" customHeight="false" outlineLevel="0" collapsed="false">
      <c r="A176" s="11" t="s">
        <v>731</v>
      </c>
      <c r="B176" s="11" t="s">
        <v>775</v>
      </c>
      <c r="C176" s="11" t="s">
        <v>776</v>
      </c>
      <c r="D176" s="11" t="s">
        <v>343</v>
      </c>
      <c r="E176" s="11"/>
      <c r="F176" s="11"/>
      <c r="G176" s="11" t="s">
        <v>50</v>
      </c>
      <c r="H176" s="11"/>
      <c r="I176" s="12" t="s">
        <v>42</v>
      </c>
      <c r="J176" s="11"/>
      <c r="K176" s="13" t="n">
        <v>540</v>
      </c>
      <c r="L176" s="13"/>
      <c r="M176" s="12" t="s">
        <v>42</v>
      </c>
      <c r="N176" s="12" t="s">
        <v>42</v>
      </c>
      <c r="O176" s="11" t="s">
        <v>51</v>
      </c>
      <c r="P176" s="11" t="s">
        <v>777</v>
      </c>
    </row>
    <row r="177" customFormat="false" ht="46.25" hidden="false" customHeight="false" outlineLevel="0" collapsed="false">
      <c r="A177" s="11" t="s">
        <v>731</v>
      </c>
      <c r="B177" s="11" t="s">
        <v>778</v>
      </c>
      <c r="C177" s="11" t="s">
        <v>779</v>
      </c>
      <c r="D177" s="11" t="s">
        <v>343</v>
      </c>
      <c r="E177" s="11"/>
      <c r="F177" s="11"/>
      <c r="G177" s="11" t="s">
        <v>50</v>
      </c>
      <c r="H177" s="11"/>
      <c r="I177" s="12" t="s">
        <v>42</v>
      </c>
      <c r="J177" s="11"/>
      <c r="K177" s="13" t="n">
        <v>0</v>
      </c>
      <c r="L177" s="13"/>
      <c r="M177" s="12" t="s">
        <v>42</v>
      </c>
      <c r="N177" s="12" t="s">
        <v>42</v>
      </c>
      <c r="O177" s="11" t="s">
        <v>51</v>
      </c>
      <c r="P177" s="11" t="s">
        <v>780</v>
      </c>
    </row>
    <row r="178" customFormat="false" ht="46.25" hidden="false" customHeight="false" outlineLevel="0" collapsed="false">
      <c r="A178" s="11" t="s">
        <v>731</v>
      </c>
      <c r="B178" s="11" t="s">
        <v>778</v>
      </c>
      <c r="C178" s="11" t="s">
        <v>781</v>
      </c>
      <c r="D178" s="11" t="s">
        <v>343</v>
      </c>
      <c r="E178" s="11"/>
      <c r="F178" s="11"/>
      <c r="G178" s="11" t="s">
        <v>50</v>
      </c>
      <c r="H178" s="11"/>
      <c r="I178" s="12" t="s">
        <v>42</v>
      </c>
      <c r="J178" s="11"/>
      <c r="K178" s="13" t="n">
        <v>540</v>
      </c>
      <c r="L178" s="13"/>
      <c r="M178" s="12" t="s">
        <v>42</v>
      </c>
      <c r="N178" s="12" t="s">
        <v>42</v>
      </c>
      <c r="O178" s="11" t="s">
        <v>51</v>
      </c>
      <c r="P178" s="11" t="s">
        <v>782</v>
      </c>
    </row>
    <row r="179" customFormat="false" ht="46.25" hidden="false" customHeight="false" outlineLevel="0" collapsed="false">
      <c r="A179" s="11" t="s">
        <v>731</v>
      </c>
      <c r="B179" s="11" t="s">
        <v>778</v>
      </c>
      <c r="C179" s="11" t="s">
        <v>783</v>
      </c>
      <c r="D179" s="11" t="s">
        <v>343</v>
      </c>
      <c r="E179" s="11"/>
      <c r="F179" s="11"/>
      <c r="G179" s="11" t="s">
        <v>50</v>
      </c>
      <c r="H179" s="11"/>
      <c r="I179" s="12" t="s">
        <v>42</v>
      </c>
      <c r="J179" s="11"/>
      <c r="K179" s="13" t="n">
        <v>540</v>
      </c>
      <c r="L179" s="13"/>
      <c r="M179" s="12" t="s">
        <v>42</v>
      </c>
      <c r="N179" s="12" t="s">
        <v>42</v>
      </c>
      <c r="O179" s="11" t="s">
        <v>51</v>
      </c>
      <c r="P179" s="11" t="s">
        <v>784</v>
      </c>
    </row>
    <row r="180" customFormat="false" ht="46.25" hidden="false" customHeight="false" outlineLevel="0" collapsed="false">
      <c r="A180" s="11" t="s">
        <v>731</v>
      </c>
      <c r="B180" s="11" t="s">
        <v>785</v>
      </c>
      <c r="C180" s="11" t="s">
        <v>786</v>
      </c>
      <c r="D180" s="11" t="s">
        <v>343</v>
      </c>
      <c r="E180" s="11"/>
      <c r="F180" s="11"/>
      <c r="G180" s="11" t="s">
        <v>50</v>
      </c>
      <c r="H180" s="11"/>
      <c r="I180" s="12" t="s">
        <v>42</v>
      </c>
      <c r="J180" s="11"/>
      <c r="K180" s="13" t="n">
        <v>0</v>
      </c>
      <c r="L180" s="13"/>
      <c r="M180" s="12" t="s">
        <v>42</v>
      </c>
      <c r="N180" s="12" t="s">
        <v>42</v>
      </c>
      <c r="O180" s="11" t="s">
        <v>51</v>
      </c>
      <c r="P180" s="11" t="s">
        <v>787</v>
      </c>
    </row>
    <row r="181" customFormat="false" ht="35.05" hidden="false" customHeight="false" outlineLevel="0" collapsed="false">
      <c r="A181" s="11" t="s">
        <v>731</v>
      </c>
      <c r="B181" s="11" t="s">
        <v>785</v>
      </c>
      <c r="C181" s="11" t="s">
        <v>788</v>
      </c>
      <c r="D181" s="11" t="s">
        <v>343</v>
      </c>
      <c r="E181" s="11"/>
      <c r="F181" s="11"/>
      <c r="G181" s="11" t="s">
        <v>50</v>
      </c>
      <c r="H181" s="11"/>
      <c r="I181" s="12" t="s">
        <v>42</v>
      </c>
      <c r="J181" s="11"/>
      <c r="K181" s="13" t="n">
        <v>540</v>
      </c>
      <c r="L181" s="13"/>
      <c r="M181" s="12" t="s">
        <v>42</v>
      </c>
      <c r="N181" s="12" t="s">
        <v>42</v>
      </c>
      <c r="O181" s="11" t="s">
        <v>51</v>
      </c>
      <c r="P181" s="11" t="s">
        <v>789</v>
      </c>
    </row>
  </sheetData>
  <autoFilter ref="A2:P181"/>
  <mergeCells count="1">
    <mergeCell ref="A1:P1"/>
  </mergeCells>
  <conditionalFormatting sqref="K3:K181">
    <cfRule type="expression" priority="2" aboveAverage="0" equalAverage="0" bottom="0" percent="0" rank="0" text="" dxfId="4">
      <formula>ISBLANK($K3)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0"/>
    <col collapsed="false" customWidth="true" hidden="false" outlineLevel="0" max="4" min="4" style="0" width="28"/>
    <col collapsed="false" customWidth="true" hidden="false" outlineLevel="0" max="5" min="5" style="0" width="22"/>
    <col collapsed="false" customWidth="true" hidden="false" outlineLevel="0" max="6" min="6" style="0" width="8"/>
    <col collapsed="false" customWidth="true" hidden="false" outlineLevel="0" max="8" min="7" style="0" width="12"/>
    <col collapsed="false" customWidth="true" hidden="false" outlineLevel="0" max="10" min="9" style="0" width="8"/>
    <col collapsed="false" customWidth="true" hidden="false" outlineLevel="0" max="11" min="11" style="0" width="40"/>
    <col collapsed="false" customWidth="true" hidden="false" outlineLevel="0" max="12" min="12" style="0" width="15"/>
    <col collapsed="false" customWidth="true" hidden="false" outlineLevel="0" max="13" min="13" style="0" width="30"/>
    <col collapsed="false" customWidth="true" hidden="false" outlineLevel="0" max="14" min="14" style="0" width="40"/>
    <col collapsed="false" customWidth="true" hidden="false" outlineLevel="0" max="15" min="15" style="0" width="30"/>
    <col collapsed="false" customWidth="true" hidden="false" outlineLevel="0" max="16" min="16" style="0" width="13"/>
    <col collapsed="false" customWidth="true" hidden="false" outlineLevel="0" max="17" min="17" style="0" width="26"/>
    <col collapsed="false" customWidth="true" hidden="false" outlineLevel="0" max="18" min="18" style="0" width="30"/>
    <col collapsed="false" customWidth="true" hidden="false" outlineLevel="0" max="19" min="19" style="0" width="14"/>
    <col collapsed="false" customWidth="true" hidden="false" outlineLevel="0" max="20" min="20" style="0" width="26"/>
    <col collapsed="false" customWidth="true" hidden="false" outlineLevel="0" max="22" min="21" style="0" width="13"/>
    <col collapsed="false" customWidth="true" hidden="true" outlineLevel="0" max="23" min="23" style="0" width="10"/>
  </cols>
  <sheetData>
    <row r="1" customFormat="false" ht="15" hidden="false" customHeight="false" outlineLevel="0" collapsed="false">
      <c r="A1" s="9" t="s">
        <v>790</v>
      </c>
      <c r="B1" s="9"/>
      <c r="C1" s="9"/>
      <c r="D1" s="9"/>
      <c r="E1" s="9"/>
      <c r="F1" s="9"/>
      <c r="G1" s="9"/>
      <c r="H1" s="9"/>
      <c r="I1" s="9"/>
      <c r="J1" s="9"/>
      <c r="K1" s="9"/>
      <c r="L1" s="9"/>
      <c r="M1" s="9"/>
      <c r="N1" s="9"/>
      <c r="O1" s="9"/>
      <c r="P1" s="9"/>
      <c r="Q1" s="9"/>
      <c r="R1" s="9"/>
      <c r="S1" s="9"/>
      <c r="T1" s="9"/>
      <c r="U1" s="9"/>
      <c r="V1" s="9"/>
      <c r="W1" s="9"/>
    </row>
    <row r="2" customFormat="false" ht="30" hidden="false" customHeight="true" outlineLevel="0" collapsed="false">
      <c r="A2" s="10" t="s">
        <v>397</v>
      </c>
      <c r="B2" s="10" t="s">
        <v>398</v>
      </c>
      <c r="C2" s="10" t="s">
        <v>791</v>
      </c>
      <c r="D2" s="10" t="s">
        <v>399</v>
      </c>
      <c r="E2" s="10" t="s">
        <v>792</v>
      </c>
      <c r="F2" s="10" t="s">
        <v>793</v>
      </c>
      <c r="G2" s="10" t="s">
        <v>794</v>
      </c>
      <c r="H2" s="10" t="s">
        <v>795</v>
      </c>
      <c r="I2" s="10" t="s">
        <v>30</v>
      </c>
      <c r="J2" s="10" t="s">
        <v>31</v>
      </c>
      <c r="K2" s="10" t="s">
        <v>796</v>
      </c>
      <c r="L2" s="10" t="s">
        <v>797</v>
      </c>
      <c r="M2" s="10" t="s">
        <v>798</v>
      </c>
      <c r="N2" s="10" t="s">
        <v>799</v>
      </c>
      <c r="O2" s="10" t="s">
        <v>800</v>
      </c>
      <c r="P2" s="10" t="s">
        <v>801</v>
      </c>
      <c r="Q2" s="10" t="s">
        <v>802</v>
      </c>
      <c r="R2" s="10" t="s">
        <v>803</v>
      </c>
      <c r="S2" s="10" t="s">
        <v>804</v>
      </c>
      <c r="T2" s="10" t="s">
        <v>805</v>
      </c>
      <c r="U2" s="10" t="s">
        <v>806</v>
      </c>
      <c r="V2" s="10" t="s">
        <v>807</v>
      </c>
      <c r="W2" s="10" t="s">
        <v>39</v>
      </c>
    </row>
    <row r="3" customFormat="false" ht="46.25" hidden="false" customHeight="false" outlineLevel="0" collapsed="false">
      <c r="A3" s="11"/>
      <c r="B3" s="11" t="s">
        <v>406</v>
      </c>
      <c r="C3" s="12" t="s">
        <v>808</v>
      </c>
      <c r="D3" s="11" t="s">
        <v>407</v>
      </c>
      <c r="E3" s="11" t="str">
        <f aca="false">IF(COUNTIFS(Prüfanforderungen!$P$3:$P$181,$W3)=0,"keine Norm hinterlegt",IF($L3=0,"0 € hinterlegt",""))</f>
        <v>0 € hinterlegt</v>
      </c>
      <c r="F3" s="12" t="s">
        <v>42</v>
      </c>
      <c r="G3" s="12" t="n">
        <v>3</v>
      </c>
      <c r="H3" s="12"/>
      <c r="I3" s="12" t="s">
        <v>42</v>
      </c>
      <c r="J3" s="12" t="s">
        <v>42</v>
      </c>
      <c r="K3" s="11" t="s">
        <v>289</v>
      </c>
      <c r="L3" s="13" t="n">
        <f aca="false">IF(COUNTIFS(Prüfanforderungen!$P$3:$P$181,$W3,Prüfanforderungen!$D$3:$D$181,"Sicherheit-/Normprüfung",Prüfanforderungen!$K$3:$K$181,"&gt;=0")=0,"Preis auf Anfrage",SUMIFS(Prüfanforderungen!$K$3:$K$181,Prüfanforderungen!$P$3:$P$181,$W3,Prüfanforderungen!$D$3:$D$181,"Sicherheit-/Normprüfung"))</f>
        <v>0</v>
      </c>
      <c r="M3" s="11"/>
      <c r="N3" s="11"/>
      <c r="O3" s="11"/>
      <c r="P3" s="13" t="str">
        <f aca="false">IF(COUNTIFS(Prüfanforderungen!$P$3:$P$181,$W3,Prüfanforderungen!$D$3:$D$181,"FFU/Fitting",Prüfanforderungen!$K$3:$K$181,"&gt;=0")=0,"Preis auf Anfrage",SUMIFS(Prüfanforderungen!$K$3:$K$181,Prüfanforderungen!$P$3:$P$181,$W3,Prüfanforderungen!$D$3:$D$181,"FFU/Fitting"))</f>
        <v>Preis auf Anfrage</v>
      </c>
      <c r="Q3" s="11"/>
      <c r="R3" s="11"/>
      <c r="S3" s="13" t="str">
        <f aca="false">IF(COUNTIFS(Prüfanforderungen!$P$3:$P$181,$W3,Prüfanforderungen!$D$3:$D$181,"NGO / StiWa",Prüfanforderungen!$K$3:$K$181,"&gt;=0")=0,"Preis auf Anfrage",SUMIFS(Prüfanforderungen!$K$3:$K$181,Prüfanforderungen!$P$3:$P$181,$W3,Prüfanforderungen!$D$3:$D$181,"NGO / StiWa"))</f>
        <v>Preis auf Anfrage</v>
      </c>
      <c r="T3" s="11"/>
      <c r="U3" s="13"/>
      <c r="V3" s="13" t="n">
        <v>960</v>
      </c>
      <c r="W3" s="11" t="s">
        <v>408</v>
      </c>
    </row>
    <row r="4" customFormat="false" ht="46.25" hidden="false" customHeight="false" outlineLevel="0" collapsed="false">
      <c r="A4" s="11" t="s">
        <v>409</v>
      </c>
      <c r="B4" s="11" t="s">
        <v>410</v>
      </c>
      <c r="C4" s="12" t="s">
        <v>809</v>
      </c>
      <c r="D4" s="11" t="s">
        <v>411</v>
      </c>
      <c r="E4" s="11" t="str">
        <f aca="false">IF(COUNTIFS(Prüfanforderungen!$P$3:$P$181,$W4)=0,"keine Norm hinterlegt",IF($L4=0,"0 € hinterlegt",""))</f>
        <v/>
      </c>
      <c r="F4" s="12" t="s">
        <v>42</v>
      </c>
      <c r="G4" s="12" t="n">
        <v>4</v>
      </c>
      <c r="H4" s="12"/>
      <c r="I4" s="12" t="s">
        <v>42</v>
      </c>
      <c r="J4" s="12" t="s">
        <v>42</v>
      </c>
      <c r="K4" s="11" t="s">
        <v>197</v>
      </c>
      <c r="L4" s="13" t="n">
        <f aca="false">IF(COUNTIFS(Prüfanforderungen!$P$3:$P$181,$W4,Prüfanforderungen!$D$3:$D$181,"Sicherheit-/Normprüfung",Prüfanforderungen!$K$3:$K$181,"&gt;=0")=0,"Preis auf Anfrage",SUMIFS(Prüfanforderungen!$K$3:$K$181,Prüfanforderungen!$P$3:$P$181,$W4,Prüfanforderungen!$D$3:$D$181,"Sicherheit-/Normprüfung"))</f>
        <v>720</v>
      </c>
      <c r="M4" s="11"/>
      <c r="N4" s="11" t="s">
        <v>810</v>
      </c>
      <c r="O4" s="11"/>
      <c r="P4" s="13" t="str">
        <f aca="false">IF(COUNTIFS(Prüfanforderungen!$P$3:$P$181,$W4,Prüfanforderungen!$D$3:$D$181,"FFU/Fitting",Prüfanforderungen!$K$3:$K$181,"&gt;=0")=0,"Preis auf Anfrage",SUMIFS(Prüfanforderungen!$K$3:$K$181,Prüfanforderungen!$P$3:$P$181,$W4,Prüfanforderungen!$D$3:$D$181,"FFU/Fitting"))</f>
        <v>Preis auf Anfrage</v>
      </c>
      <c r="Q4" s="11"/>
      <c r="R4" s="11"/>
      <c r="S4" s="13" t="str">
        <f aca="false">IF(COUNTIFS(Prüfanforderungen!$P$3:$P$181,$W4,Prüfanforderungen!$D$3:$D$181,"NGO / StiWa",Prüfanforderungen!$K$3:$K$181,"&gt;=0")=0,"Preis auf Anfrage",SUMIFS(Prüfanforderungen!$K$3:$K$181,Prüfanforderungen!$P$3:$P$181,$W4,Prüfanforderungen!$D$3:$D$181,"NGO / StiWa"))</f>
        <v>Preis auf Anfrage</v>
      </c>
      <c r="T4" s="11"/>
      <c r="U4" s="13"/>
      <c r="V4" s="13" t="n">
        <v>960</v>
      </c>
      <c r="W4" s="11" t="s">
        <v>412</v>
      </c>
    </row>
    <row r="5" customFormat="false" ht="46.25" hidden="false" customHeight="false" outlineLevel="0" collapsed="false">
      <c r="A5" s="11" t="s">
        <v>409</v>
      </c>
      <c r="B5" s="11" t="s">
        <v>410</v>
      </c>
      <c r="C5" s="12" t="s">
        <v>809</v>
      </c>
      <c r="D5" s="11" t="s">
        <v>413</v>
      </c>
      <c r="E5" s="11" t="str">
        <f aca="false">IF(COUNTIFS(Prüfanforderungen!$P$3:$P$181,$W5)=0,"keine Norm hinterlegt",IF($L5=0,"0 € hinterlegt",""))</f>
        <v/>
      </c>
      <c r="F5" s="12" t="s">
        <v>42</v>
      </c>
      <c r="G5" s="12" t="n">
        <v>4</v>
      </c>
      <c r="H5" s="12"/>
      <c r="I5" s="12" t="s">
        <v>42</v>
      </c>
      <c r="J5" s="12" t="s">
        <v>42</v>
      </c>
      <c r="K5" s="11" t="s">
        <v>197</v>
      </c>
      <c r="L5" s="13" t="n">
        <f aca="false">IF(COUNTIFS(Prüfanforderungen!$P$3:$P$181,$W5,Prüfanforderungen!$D$3:$D$181,"Sicherheit-/Normprüfung",Prüfanforderungen!$K$3:$K$181,"&gt;=0")=0,"Preis auf Anfrage",SUMIFS(Prüfanforderungen!$K$3:$K$181,Prüfanforderungen!$P$3:$P$181,$W5,Prüfanforderungen!$D$3:$D$181,"Sicherheit-/Normprüfung"))</f>
        <v>1080</v>
      </c>
      <c r="M5" s="11"/>
      <c r="N5" s="11" t="s">
        <v>810</v>
      </c>
      <c r="O5" s="11"/>
      <c r="P5" s="13" t="str">
        <f aca="false">IF(COUNTIFS(Prüfanforderungen!$P$3:$P$181,$W5,Prüfanforderungen!$D$3:$D$181,"FFU/Fitting",Prüfanforderungen!$K$3:$K$181,"&gt;=0")=0,"Preis auf Anfrage",SUMIFS(Prüfanforderungen!$K$3:$K$181,Prüfanforderungen!$P$3:$P$181,$W5,Prüfanforderungen!$D$3:$D$181,"FFU/Fitting"))</f>
        <v>Preis auf Anfrage</v>
      </c>
      <c r="Q5" s="11"/>
      <c r="R5" s="11"/>
      <c r="S5" s="13" t="str">
        <f aca="false">IF(COUNTIFS(Prüfanforderungen!$P$3:$P$181,$W5,Prüfanforderungen!$D$3:$D$181,"NGO / StiWa",Prüfanforderungen!$K$3:$K$181,"&gt;=0")=0,"Preis auf Anfrage",SUMIFS(Prüfanforderungen!$K$3:$K$181,Prüfanforderungen!$P$3:$P$181,$W5,Prüfanforderungen!$D$3:$D$181,"NGO / StiWa"))</f>
        <v>Preis auf Anfrage</v>
      </c>
      <c r="T5" s="11"/>
      <c r="U5" s="13"/>
      <c r="V5" s="13" t="n">
        <v>960</v>
      </c>
      <c r="W5" s="11" t="s">
        <v>414</v>
      </c>
    </row>
    <row r="6" customFormat="false" ht="68.65" hidden="false" customHeight="false" outlineLevel="0" collapsed="false">
      <c r="A6" s="11" t="s">
        <v>409</v>
      </c>
      <c r="B6" s="11" t="s">
        <v>410</v>
      </c>
      <c r="C6" s="12" t="s">
        <v>809</v>
      </c>
      <c r="D6" s="11" t="s">
        <v>415</v>
      </c>
      <c r="E6" s="11" t="str">
        <f aca="false">IF(COUNTIFS(Prüfanforderungen!$P$3:$P$181,$W6)=0,"keine Norm hinterlegt",IF($L6=0,"0 € hinterlegt",""))</f>
        <v>0 € hinterlegt</v>
      </c>
      <c r="F6" s="12" t="s">
        <v>42</v>
      </c>
      <c r="G6" s="12" t="n">
        <v>6</v>
      </c>
      <c r="H6" s="12"/>
      <c r="I6" s="12" t="s">
        <v>42</v>
      </c>
      <c r="J6" s="12" t="s">
        <v>42</v>
      </c>
      <c r="K6" s="11" t="s">
        <v>229</v>
      </c>
      <c r="L6" s="13" t="n">
        <f aca="false">IF(COUNTIFS(Prüfanforderungen!$P$3:$P$181,$W6,Prüfanforderungen!$D$3:$D$181,"Sicherheit-/Normprüfung",Prüfanforderungen!$K$3:$K$181,"&gt;=0")=0,"Preis auf Anfrage",SUMIFS(Prüfanforderungen!$K$3:$K$181,Prüfanforderungen!$P$3:$P$181,$W6,Prüfanforderungen!$D$3:$D$181,"Sicherheit-/Normprüfung"))</f>
        <v>0</v>
      </c>
      <c r="M6" s="11"/>
      <c r="N6" s="11" t="s">
        <v>811</v>
      </c>
      <c r="O6" s="11"/>
      <c r="P6" s="13" t="str">
        <f aca="false">IF(COUNTIFS(Prüfanforderungen!$P$3:$P$181,$W6,Prüfanforderungen!$D$3:$D$181,"FFU/Fitting",Prüfanforderungen!$K$3:$K$181,"&gt;=0")=0,"Preis auf Anfrage",SUMIFS(Prüfanforderungen!$K$3:$K$181,Prüfanforderungen!$P$3:$P$181,$W6,Prüfanforderungen!$D$3:$D$181,"FFU/Fitting"))</f>
        <v>Preis auf Anfrage</v>
      </c>
      <c r="Q6" s="11"/>
      <c r="R6" s="11"/>
      <c r="S6" s="13" t="str">
        <f aca="false">IF(COUNTIFS(Prüfanforderungen!$P$3:$P$181,$W6,Prüfanforderungen!$D$3:$D$181,"NGO / StiWa",Prüfanforderungen!$K$3:$K$181,"&gt;=0")=0,"Preis auf Anfrage",SUMIFS(Prüfanforderungen!$K$3:$K$181,Prüfanforderungen!$P$3:$P$181,$W6,Prüfanforderungen!$D$3:$D$181,"NGO / StiWa"))</f>
        <v>Preis auf Anfrage</v>
      </c>
      <c r="T6" s="11"/>
      <c r="U6" s="13"/>
      <c r="V6" s="13" t="n">
        <v>450</v>
      </c>
      <c r="W6" s="11" t="s">
        <v>416</v>
      </c>
    </row>
    <row r="7" customFormat="false" ht="46.25" hidden="false" customHeight="false" outlineLevel="0" collapsed="false">
      <c r="A7" s="11" t="s">
        <v>409</v>
      </c>
      <c r="B7" s="11" t="s">
        <v>410</v>
      </c>
      <c r="C7" s="12" t="s">
        <v>809</v>
      </c>
      <c r="D7" s="11" t="s">
        <v>417</v>
      </c>
      <c r="E7" s="11" t="str">
        <f aca="false">IF(COUNTIFS(Prüfanforderungen!$P$3:$P$181,$W7)=0,"keine Norm hinterlegt",IF($L7=0,"0 € hinterlegt",""))</f>
        <v/>
      </c>
      <c r="F7" s="12" t="s">
        <v>42</v>
      </c>
      <c r="G7" s="12" t="n">
        <v>4</v>
      </c>
      <c r="H7" s="12"/>
      <c r="I7" s="12" t="s">
        <v>42</v>
      </c>
      <c r="J7" s="12" t="s">
        <v>42</v>
      </c>
      <c r="K7" s="11" t="s">
        <v>197</v>
      </c>
      <c r="L7" s="13" t="n">
        <f aca="false">IF(COUNTIFS(Prüfanforderungen!$P$3:$P$181,$W7,Prüfanforderungen!$D$3:$D$181,"Sicherheit-/Normprüfung",Prüfanforderungen!$K$3:$K$181,"&gt;=0")=0,"Preis auf Anfrage",SUMIFS(Prüfanforderungen!$K$3:$K$181,Prüfanforderungen!$P$3:$P$181,$W7,Prüfanforderungen!$D$3:$D$181,"Sicherheit-/Normprüfung"))</f>
        <v>720</v>
      </c>
      <c r="M7" s="11"/>
      <c r="N7" s="11" t="s">
        <v>810</v>
      </c>
      <c r="O7" s="11"/>
      <c r="P7" s="13" t="str">
        <f aca="false">IF(COUNTIFS(Prüfanforderungen!$P$3:$P$181,$W7,Prüfanforderungen!$D$3:$D$181,"FFU/Fitting",Prüfanforderungen!$K$3:$K$181,"&gt;=0")=0,"Preis auf Anfrage",SUMIFS(Prüfanforderungen!$K$3:$K$181,Prüfanforderungen!$P$3:$P$181,$W7,Prüfanforderungen!$D$3:$D$181,"FFU/Fitting"))</f>
        <v>Preis auf Anfrage</v>
      </c>
      <c r="Q7" s="11"/>
      <c r="R7" s="11"/>
      <c r="S7" s="13" t="str">
        <f aca="false">IF(COUNTIFS(Prüfanforderungen!$P$3:$P$181,$W7,Prüfanforderungen!$D$3:$D$181,"NGO / StiWa",Prüfanforderungen!$K$3:$K$181,"&gt;=0")=0,"Preis auf Anfrage",SUMIFS(Prüfanforderungen!$K$3:$K$181,Prüfanforderungen!$P$3:$P$181,$W7,Prüfanforderungen!$D$3:$D$181,"NGO / StiWa"))</f>
        <v>Preis auf Anfrage</v>
      </c>
      <c r="T7" s="11"/>
      <c r="U7" s="13"/>
      <c r="V7" s="13" t="n">
        <v>960</v>
      </c>
      <c r="W7" s="11" t="s">
        <v>418</v>
      </c>
    </row>
    <row r="8" customFormat="false" ht="35.05" hidden="false" customHeight="false" outlineLevel="0" collapsed="false">
      <c r="A8" s="11" t="s">
        <v>409</v>
      </c>
      <c r="B8" s="11" t="s">
        <v>419</v>
      </c>
      <c r="C8" s="12" t="s">
        <v>812</v>
      </c>
      <c r="D8" s="11" t="s">
        <v>420</v>
      </c>
      <c r="E8" s="11" t="str">
        <f aca="false">IF(COUNTIFS(Prüfanforderungen!$P$3:$P$181,$W8)=0,"keine Norm hinterlegt",IF($L8=0,"0 € hinterlegt",""))</f>
        <v>0 € hinterlegt</v>
      </c>
      <c r="F8" s="12" t="s">
        <v>42</v>
      </c>
      <c r="G8" s="12" t="n">
        <v>5</v>
      </c>
      <c r="H8" s="12"/>
      <c r="I8" s="12" t="s">
        <v>42</v>
      </c>
      <c r="J8" s="12" t="s">
        <v>42</v>
      </c>
      <c r="K8" s="11" t="s">
        <v>202</v>
      </c>
      <c r="L8" s="13" t="n">
        <f aca="false">IF(COUNTIFS(Prüfanforderungen!$P$3:$P$181,$W8,Prüfanforderungen!$D$3:$D$181,"Sicherheit-/Normprüfung",Prüfanforderungen!$K$3:$K$181,"&gt;=0")=0,"Preis auf Anfrage",SUMIFS(Prüfanforderungen!$K$3:$K$181,Prüfanforderungen!$P$3:$P$181,$W8,Prüfanforderungen!$D$3:$D$181,"Sicherheit-/Normprüfung"))</f>
        <v>0</v>
      </c>
      <c r="M8" s="11"/>
      <c r="N8" s="11" t="s">
        <v>813</v>
      </c>
      <c r="O8" s="11"/>
      <c r="P8" s="13" t="str">
        <f aca="false">IF(COUNTIFS(Prüfanforderungen!$P$3:$P$181,$W8,Prüfanforderungen!$D$3:$D$181,"FFU/Fitting",Prüfanforderungen!$K$3:$K$181,"&gt;=0")=0,"Preis auf Anfrage",SUMIFS(Prüfanforderungen!$K$3:$K$181,Prüfanforderungen!$P$3:$P$181,$W8,Prüfanforderungen!$D$3:$D$181,"FFU/Fitting"))</f>
        <v>Preis auf Anfrage</v>
      </c>
      <c r="Q8" s="11"/>
      <c r="R8" s="11"/>
      <c r="S8" s="13" t="str">
        <f aca="false">IF(COUNTIFS(Prüfanforderungen!$P$3:$P$181,$W8,Prüfanforderungen!$D$3:$D$181,"NGO / StiWa",Prüfanforderungen!$K$3:$K$181,"&gt;=0")=0,"Preis auf Anfrage",SUMIFS(Prüfanforderungen!$K$3:$K$181,Prüfanforderungen!$P$3:$P$181,$W8,Prüfanforderungen!$D$3:$D$181,"NGO / StiWa"))</f>
        <v>Preis auf Anfrage</v>
      </c>
      <c r="T8" s="11"/>
      <c r="U8" s="13"/>
      <c r="V8" s="13" t="n">
        <v>1260</v>
      </c>
      <c r="W8" s="11" t="s">
        <v>421</v>
      </c>
    </row>
    <row r="9" customFormat="false" ht="79.85" hidden="false" customHeight="false" outlineLevel="0" collapsed="false">
      <c r="A9" s="11" t="s">
        <v>409</v>
      </c>
      <c r="B9" s="11" t="s">
        <v>419</v>
      </c>
      <c r="C9" s="12" t="s">
        <v>812</v>
      </c>
      <c r="D9" s="11" t="s">
        <v>422</v>
      </c>
      <c r="E9" s="11" t="str">
        <f aca="false">IF(COUNTIFS(Prüfanforderungen!$P$3:$P$181,$W9)=0,"keine Norm hinterlegt",IF($L9=0,"0 € hinterlegt",""))</f>
        <v/>
      </c>
      <c r="F9" s="12" t="s">
        <v>42</v>
      </c>
      <c r="G9" s="12" t="n">
        <v>5</v>
      </c>
      <c r="H9" s="12"/>
      <c r="I9" s="12" t="s">
        <v>42</v>
      </c>
      <c r="J9" s="12" t="s">
        <v>42</v>
      </c>
      <c r="K9" s="11" t="s">
        <v>162</v>
      </c>
      <c r="L9" s="13" t="n">
        <f aca="false">IF(COUNTIFS(Prüfanforderungen!$P$3:$P$181,$W9,Prüfanforderungen!$D$3:$D$181,"Sicherheit-/Normprüfung",Prüfanforderungen!$K$3:$K$181,"&gt;=0")=0,"Preis auf Anfrage",SUMIFS(Prüfanforderungen!$K$3:$K$181,Prüfanforderungen!$P$3:$P$181,$W9,Prüfanforderungen!$D$3:$D$181,"Sicherheit-/Normprüfung"))</f>
        <v>720</v>
      </c>
      <c r="M9" s="11"/>
      <c r="N9" s="11" t="s">
        <v>814</v>
      </c>
      <c r="O9" s="11"/>
      <c r="P9" s="13" t="str">
        <f aca="false">IF(COUNTIFS(Prüfanforderungen!$P$3:$P$181,$W9,Prüfanforderungen!$D$3:$D$181,"FFU/Fitting",Prüfanforderungen!$K$3:$K$181,"&gt;=0")=0,"Preis auf Anfrage",SUMIFS(Prüfanforderungen!$K$3:$K$181,Prüfanforderungen!$P$3:$P$181,$W9,Prüfanforderungen!$D$3:$D$181,"FFU/Fitting"))</f>
        <v>Preis auf Anfrage</v>
      </c>
      <c r="Q9" s="11"/>
      <c r="R9" s="11"/>
      <c r="S9" s="13" t="str">
        <f aca="false">IF(COUNTIFS(Prüfanforderungen!$P$3:$P$181,$W9,Prüfanforderungen!$D$3:$D$181,"NGO / StiWa",Prüfanforderungen!$K$3:$K$181,"&gt;=0")=0,"Preis auf Anfrage",SUMIFS(Prüfanforderungen!$K$3:$K$181,Prüfanforderungen!$P$3:$P$181,$W9,Prüfanforderungen!$D$3:$D$181,"NGO / StiWa"))</f>
        <v>Preis auf Anfrage</v>
      </c>
      <c r="T9" s="11"/>
      <c r="U9" s="13"/>
      <c r="V9" s="13" t="n">
        <v>960</v>
      </c>
      <c r="W9" s="11" t="s">
        <v>423</v>
      </c>
    </row>
    <row r="10" customFormat="false" ht="46.25" hidden="false" customHeight="false" outlineLevel="0" collapsed="false">
      <c r="A10" s="11" t="s">
        <v>409</v>
      </c>
      <c r="B10" s="11" t="s">
        <v>419</v>
      </c>
      <c r="C10" s="12" t="s">
        <v>812</v>
      </c>
      <c r="D10" s="11" t="s">
        <v>424</v>
      </c>
      <c r="E10" s="11" t="str">
        <f aca="false">IF(COUNTIFS(Prüfanforderungen!$P$3:$P$181,$W10)=0,"keine Norm hinterlegt",IF($L10=0,"0 € hinterlegt",""))</f>
        <v/>
      </c>
      <c r="F10" s="12" t="s">
        <v>139</v>
      </c>
      <c r="G10" s="12" t="n">
        <v>2</v>
      </c>
      <c r="H10" s="12"/>
      <c r="I10" s="12" t="s">
        <v>42</v>
      </c>
      <c r="J10" s="12" t="s">
        <v>42</v>
      </c>
      <c r="K10" s="11" t="s">
        <v>50</v>
      </c>
      <c r="L10" s="13" t="n">
        <f aca="false">IF(COUNTIFS(Prüfanforderungen!$P$3:$P$181,$W10,Prüfanforderungen!$D$3:$D$181,"Sicherheit-/Normprüfung",Prüfanforderungen!$K$3:$K$181,"&gt;=0")=0,"Preis auf Anfrage",SUMIFS(Prüfanforderungen!$K$3:$K$181,Prüfanforderungen!$P$3:$P$181,$W10,Prüfanforderungen!$D$3:$D$181,"Sicherheit-/Normprüfung"))</f>
        <v>180</v>
      </c>
      <c r="M10" s="11"/>
      <c r="N10" s="11" t="s">
        <v>815</v>
      </c>
      <c r="O10" s="11"/>
      <c r="P10" s="13" t="str">
        <f aca="false">IF(COUNTIFS(Prüfanforderungen!$P$3:$P$181,$W10,Prüfanforderungen!$D$3:$D$181,"FFU/Fitting",Prüfanforderungen!$K$3:$K$181,"&gt;=0")=0,"Preis auf Anfrage",SUMIFS(Prüfanforderungen!$K$3:$K$181,Prüfanforderungen!$P$3:$P$181,$W10,Prüfanforderungen!$D$3:$D$181,"FFU/Fitting"))</f>
        <v>Preis auf Anfrage</v>
      </c>
      <c r="Q10" s="11"/>
      <c r="R10" s="11"/>
      <c r="S10" s="13" t="str">
        <f aca="false">IF(COUNTIFS(Prüfanforderungen!$P$3:$P$181,$W10,Prüfanforderungen!$D$3:$D$181,"NGO / StiWa",Prüfanforderungen!$K$3:$K$181,"&gt;=0")=0,"Preis auf Anfrage",SUMIFS(Prüfanforderungen!$K$3:$K$181,Prüfanforderungen!$P$3:$P$181,$W10,Prüfanforderungen!$D$3:$D$181,"NGO / StiWa"))</f>
        <v>Preis auf Anfrage</v>
      </c>
      <c r="T10" s="11"/>
      <c r="U10" s="13"/>
      <c r="V10" s="13" t="n">
        <v>360</v>
      </c>
      <c r="W10" s="11" t="s">
        <v>425</v>
      </c>
    </row>
    <row r="11" customFormat="false" ht="46.25" hidden="false" customHeight="false" outlineLevel="0" collapsed="false">
      <c r="A11" s="11" t="s">
        <v>409</v>
      </c>
      <c r="B11" s="11" t="s">
        <v>419</v>
      </c>
      <c r="C11" s="12" t="s">
        <v>812</v>
      </c>
      <c r="D11" s="11" t="s">
        <v>426</v>
      </c>
      <c r="E11" s="11" t="str">
        <f aca="false">IF(COUNTIFS(Prüfanforderungen!$P$3:$P$181,$W11)=0,"keine Norm hinterlegt",IF($L11=0,"0 € hinterlegt",""))</f>
        <v/>
      </c>
      <c r="F11" s="12" t="s">
        <v>139</v>
      </c>
      <c r="G11" s="12"/>
      <c r="H11" s="12"/>
      <c r="I11" s="12" t="s">
        <v>42</v>
      </c>
      <c r="J11" s="12" t="s">
        <v>42</v>
      </c>
      <c r="K11" s="11" t="s">
        <v>50</v>
      </c>
      <c r="L11" s="13" t="n">
        <f aca="false">IF(COUNTIFS(Prüfanforderungen!$P$3:$P$181,$W11,Prüfanforderungen!$D$3:$D$181,"Sicherheit-/Normprüfung",Prüfanforderungen!$K$3:$K$181,"&gt;=0")=0,"Preis auf Anfrage",SUMIFS(Prüfanforderungen!$K$3:$K$181,Prüfanforderungen!$P$3:$P$181,$W11,Prüfanforderungen!$D$3:$D$181,"Sicherheit-/Normprüfung"))</f>
        <v>180</v>
      </c>
      <c r="M11" s="11"/>
      <c r="N11" s="11" t="s">
        <v>815</v>
      </c>
      <c r="O11" s="11"/>
      <c r="P11" s="13" t="str">
        <f aca="false">IF(COUNTIFS(Prüfanforderungen!$P$3:$P$181,$W11,Prüfanforderungen!$D$3:$D$181,"FFU/Fitting",Prüfanforderungen!$K$3:$K$181,"&gt;=0")=0,"Preis auf Anfrage",SUMIFS(Prüfanforderungen!$K$3:$K$181,Prüfanforderungen!$P$3:$P$181,$W11,Prüfanforderungen!$D$3:$D$181,"FFU/Fitting"))</f>
        <v>Preis auf Anfrage</v>
      </c>
      <c r="Q11" s="11"/>
      <c r="R11" s="11"/>
      <c r="S11" s="13" t="str">
        <f aca="false">IF(COUNTIFS(Prüfanforderungen!$P$3:$P$181,$W11,Prüfanforderungen!$D$3:$D$181,"NGO / StiWa",Prüfanforderungen!$K$3:$K$181,"&gt;=0")=0,"Preis auf Anfrage",SUMIFS(Prüfanforderungen!$K$3:$K$181,Prüfanforderungen!$P$3:$P$181,$W11,Prüfanforderungen!$D$3:$D$181,"NGO / StiWa"))</f>
        <v>Preis auf Anfrage</v>
      </c>
      <c r="T11" s="11"/>
      <c r="U11" s="13"/>
      <c r="V11" s="13"/>
      <c r="W11" s="11" t="s">
        <v>427</v>
      </c>
    </row>
    <row r="12" customFormat="false" ht="46.25" hidden="false" customHeight="false" outlineLevel="0" collapsed="false">
      <c r="A12" s="11" t="s">
        <v>409</v>
      </c>
      <c r="B12" s="11" t="s">
        <v>428</v>
      </c>
      <c r="C12" s="12" t="s">
        <v>816</v>
      </c>
      <c r="D12" s="11" t="s">
        <v>429</v>
      </c>
      <c r="E12" s="11" t="str">
        <f aca="false">IF(COUNTIFS(Prüfanforderungen!$P$3:$P$181,$W12)=0,"keine Norm hinterlegt",IF($L12=0,"0 € hinterlegt",""))</f>
        <v/>
      </c>
      <c r="F12" s="12" t="s">
        <v>139</v>
      </c>
      <c r="G12" s="12" t="n">
        <v>2</v>
      </c>
      <c r="H12" s="12"/>
      <c r="I12" s="12" t="s">
        <v>42</v>
      </c>
      <c r="J12" s="12" t="s">
        <v>42</v>
      </c>
      <c r="K12" s="11" t="s">
        <v>50</v>
      </c>
      <c r="L12" s="13" t="n">
        <f aca="false">IF(COUNTIFS(Prüfanforderungen!$P$3:$P$181,$W12,Prüfanforderungen!$D$3:$D$181,"Sicherheit-/Normprüfung",Prüfanforderungen!$K$3:$K$181,"&gt;=0")=0,"Preis auf Anfrage",SUMIFS(Prüfanforderungen!$K$3:$K$181,Prüfanforderungen!$P$3:$P$181,$W12,Prüfanforderungen!$D$3:$D$181,"Sicherheit-/Normprüfung"))</f>
        <v>540</v>
      </c>
      <c r="M12" s="11"/>
      <c r="N12" s="11" t="s">
        <v>815</v>
      </c>
      <c r="O12" s="11"/>
      <c r="P12" s="13" t="str">
        <f aca="false">IF(COUNTIFS(Prüfanforderungen!$P$3:$P$181,$W12,Prüfanforderungen!$D$3:$D$181,"FFU/Fitting",Prüfanforderungen!$K$3:$K$181,"&gt;=0")=0,"Preis auf Anfrage",SUMIFS(Prüfanforderungen!$K$3:$K$181,Prüfanforderungen!$P$3:$P$181,$W12,Prüfanforderungen!$D$3:$D$181,"FFU/Fitting"))</f>
        <v>Preis auf Anfrage</v>
      </c>
      <c r="Q12" s="11"/>
      <c r="R12" s="11"/>
      <c r="S12" s="13" t="str">
        <f aca="false">IF(COUNTIFS(Prüfanforderungen!$P$3:$P$181,$W12,Prüfanforderungen!$D$3:$D$181,"NGO / StiWa",Prüfanforderungen!$K$3:$K$181,"&gt;=0")=0,"Preis auf Anfrage",SUMIFS(Prüfanforderungen!$K$3:$K$181,Prüfanforderungen!$P$3:$P$181,$W12,Prüfanforderungen!$D$3:$D$181,"NGO / StiWa"))</f>
        <v>Preis auf Anfrage</v>
      </c>
      <c r="T12" s="11"/>
      <c r="U12" s="13"/>
      <c r="V12" s="13" t="n">
        <v>360</v>
      </c>
      <c r="W12" s="11" t="s">
        <v>430</v>
      </c>
    </row>
    <row r="13" customFormat="false" ht="46.25" hidden="false" customHeight="false" outlineLevel="0" collapsed="false">
      <c r="A13" s="11" t="s">
        <v>409</v>
      </c>
      <c r="B13" s="11" t="s">
        <v>428</v>
      </c>
      <c r="C13" s="12" t="s">
        <v>816</v>
      </c>
      <c r="D13" s="11" t="s">
        <v>431</v>
      </c>
      <c r="E13" s="11" t="str">
        <f aca="false">IF(COUNTIFS(Prüfanforderungen!$P$3:$P$181,$W13)=0,"keine Norm hinterlegt",IF($L13=0,"0 € hinterlegt",""))</f>
        <v>0 € hinterlegt</v>
      </c>
      <c r="F13" s="12" t="s">
        <v>139</v>
      </c>
      <c r="G13" s="12" t="n">
        <v>2</v>
      </c>
      <c r="H13" s="12"/>
      <c r="I13" s="12" t="s">
        <v>42</v>
      </c>
      <c r="J13" s="12" t="s">
        <v>42</v>
      </c>
      <c r="K13" s="11" t="s">
        <v>50</v>
      </c>
      <c r="L13" s="13" t="n">
        <f aca="false">IF(COUNTIFS(Prüfanforderungen!$P$3:$P$181,$W13,Prüfanforderungen!$D$3:$D$181,"Sicherheit-/Normprüfung",Prüfanforderungen!$K$3:$K$181,"&gt;=0")=0,"Preis auf Anfrage",SUMIFS(Prüfanforderungen!$K$3:$K$181,Prüfanforderungen!$P$3:$P$181,$W13,Prüfanforderungen!$D$3:$D$181,"Sicherheit-/Normprüfung"))</f>
        <v>0</v>
      </c>
      <c r="M13" s="11"/>
      <c r="N13" s="11" t="s">
        <v>815</v>
      </c>
      <c r="O13" s="11"/>
      <c r="P13" s="13" t="str">
        <f aca="false">IF(COUNTIFS(Prüfanforderungen!$P$3:$P$181,$W13,Prüfanforderungen!$D$3:$D$181,"FFU/Fitting",Prüfanforderungen!$K$3:$K$181,"&gt;=0")=0,"Preis auf Anfrage",SUMIFS(Prüfanforderungen!$K$3:$K$181,Prüfanforderungen!$P$3:$P$181,$W13,Prüfanforderungen!$D$3:$D$181,"FFU/Fitting"))</f>
        <v>Preis auf Anfrage</v>
      </c>
      <c r="Q13" s="11"/>
      <c r="R13" s="11"/>
      <c r="S13" s="13" t="str">
        <f aca="false">IF(COUNTIFS(Prüfanforderungen!$P$3:$P$181,$W13,Prüfanforderungen!$D$3:$D$181,"NGO / StiWa",Prüfanforderungen!$K$3:$K$181,"&gt;=0")=0,"Preis auf Anfrage",SUMIFS(Prüfanforderungen!$K$3:$K$181,Prüfanforderungen!$P$3:$P$181,$W13,Prüfanforderungen!$D$3:$D$181,"NGO / StiWa"))</f>
        <v>Preis auf Anfrage</v>
      </c>
      <c r="T13" s="11"/>
      <c r="U13" s="13"/>
      <c r="V13" s="13" t="n">
        <v>360</v>
      </c>
      <c r="W13" s="11" t="s">
        <v>432</v>
      </c>
    </row>
    <row r="14" customFormat="false" ht="102.2" hidden="false" customHeight="false" outlineLevel="0" collapsed="false">
      <c r="A14" s="11" t="s">
        <v>409</v>
      </c>
      <c r="B14" s="11" t="s">
        <v>428</v>
      </c>
      <c r="C14" s="12" t="s">
        <v>816</v>
      </c>
      <c r="D14" s="11" t="s">
        <v>433</v>
      </c>
      <c r="E14" s="11" t="str">
        <f aca="false">IF(COUNTIFS(Prüfanforderungen!$P$3:$P$181,$W14)=0,"keine Norm hinterlegt",IF($L14=0,"0 € hinterlegt",""))</f>
        <v>0 € hinterlegt</v>
      </c>
      <c r="F14" s="12" t="s">
        <v>42</v>
      </c>
      <c r="G14" s="12" t="n">
        <v>2</v>
      </c>
      <c r="H14" s="12"/>
      <c r="I14" s="12" t="s">
        <v>42</v>
      </c>
      <c r="J14" s="12" t="s">
        <v>42</v>
      </c>
      <c r="K14" s="11" t="s">
        <v>194</v>
      </c>
      <c r="L14" s="13" t="n">
        <f aca="false">IF(COUNTIFS(Prüfanforderungen!$P$3:$P$181,$W14,Prüfanforderungen!$D$3:$D$181,"Sicherheit-/Normprüfung",Prüfanforderungen!$K$3:$K$181,"&gt;=0")=0,"Preis auf Anfrage",SUMIFS(Prüfanforderungen!$K$3:$K$181,Prüfanforderungen!$P$3:$P$181,$W14,Prüfanforderungen!$D$3:$D$181,"Sicherheit-/Normprüfung"))</f>
        <v>0</v>
      </c>
      <c r="M14" s="11"/>
      <c r="N14" s="11" t="s">
        <v>817</v>
      </c>
      <c r="O14" s="11"/>
      <c r="P14" s="13" t="str">
        <f aca="false">IF(COUNTIFS(Prüfanforderungen!$P$3:$P$181,$W14,Prüfanforderungen!$D$3:$D$181,"FFU/Fitting",Prüfanforderungen!$K$3:$K$181,"&gt;=0")=0,"Preis auf Anfrage",SUMIFS(Prüfanforderungen!$K$3:$K$181,Prüfanforderungen!$P$3:$P$181,$W14,Prüfanforderungen!$D$3:$D$181,"FFU/Fitting"))</f>
        <v>Preis auf Anfrage</v>
      </c>
      <c r="Q14" s="11"/>
      <c r="R14" s="11"/>
      <c r="S14" s="13" t="str">
        <f aca="false">IF(COUNTIFS(Prüfanforderungen!$P$3:$P$181,$W14,Prüfanforderungen!$D$3:$D$181,"NGO / StiWa",Prüfanforderungen!$K$3:$K$181,"&gt;=0")=0,"Preis auf Anfrage",SUMIFS(Prüfanforderungen!$K$3:$K$181,Prüfanforderungen!$P$3:$P$181,$W14,Prüfanforderungen!$D$3:$D$181,"NGO / StiWa"))</f>
        <v>Preis auf Anfrage</v>
      </c>
      <c r="T14" s="11"/>
      <c r="U14" s="13"/>
      <c r="V14" s="13" t="n">
        <v>960</v>
      </c>
      <c r="W14" s="11" t="s">
        <v>434</v>
      </c>
    </row>
    <row r="15" customFormat="false" ht="46.25" hidden="false" customHeight="false" outlineLevel="0" collapsed="false">
      <c r="A15" s="11" t="s">
        <v>409</v>
      </c>
      <c r="B15" s="11" t="s">
        <v>428</v>
      </c>
      <c r="C15" s="12" t="s">
        <v>816</v>
      </c>
      <c r="D15" s="11" t="s">
        <v>435</v>
      </c>
      <c r="E15" s="11" t="str">
        <f aca="false">IF(COUNTIFS(Prüfanforderungen!$P$3:$P$181,$W15)=0,"keine Norm hinterlegt",IF($L15=0,"0 € hinterlegt",""))</f>
        <v>0 € hinterlegt</v>
      </c>
      <c r="F15" s="12" t="s">
        <v>42</v>
      </c>
      <c r="G15" s="12" t="n">
        <v>2</v>
      </c>
      <c r="H15" s="12"/>
      <c r="I15" s="12" t="s">
        <v>42</v>
      </c>
      <c r="J15" s="12" t="s">
        <v>42</v>
      </c>
      <c r="K15" s="11" t="s">
        <v>70</v>
      </c>
      <c r="L15" s="13" t="n">
        <f aca="false">IF(COUNTIFS(Prüfanforderungen!$P$3:$P$181,$W15,Prüfanforderungen!$D$3:$D$181,"Sicherheit-/Normprüfung",Prüfanforderungen!$K$3:$K$181,"&gt;=0")=0,"Preis auf Anfrage",SUMIFS(Prüfanforderungen!$K$3:$K$181,Prüfanforderungen!$P$3:$P$181,$W15,Prüfanforderungen!$D$3:$D$181,"Sicherheit-/Normprüfung"))</f>
        <v>0</v>
      </c>
      <c r="M15" s="11"/>
      <c r="N15" s="11"/>
      <c r="O15" s="11"/>
      <c r="P15" s="13" t="str">
        <f aca="false">IF(COUNTIFS(Prüfanforderungen!$P$3:$P$181,$W15,Prüfanforderungen!$D$3:$D$181,"FFU/Fitting",Prüfanforderungen!$K$3:$K$181,"&gt;=0")=0,"Preis auf Anfrage",SUMIFS(Prüfanforderungen!$K$3:$K$181,Prüfanforderungen!$P$3:$P$181,$W15,Prüfanforderungen!$D$3:$D$181,"FFU/Fitting"))</f>
        <v>Preis auf Anfrage</v>
      </c>
      <c r="Q15" s="11"/>
      <c r="R15" s="11"/>
      <c r="S15" s="13" t="str">
        <f aca="false">IF(COUNTIFS(Prüfanforderungen!$P$3:$P$181,$W15,Prüfanforderungen!$D$3:$D$181,"NGO / StiWa",Prüfanforderungen!$K$3:$K$181,"&gt;=0")=0,"Preis auf Anfrage",SUMIFS(Prüfanforderungen!$K$3:$K$181,Prüfanforderungen!$P$3:$P$181,$W15,Prüfanforderungen!$D$3:$D$181,"NGO / StiWa"))</f>
        <v>Preis auf Anfrage</v>
      </c>
      <c r="T15" s="11"/>
      <c r="U15" s="13"/>
      <c r="V15" s="13" t="n">
        <v>480</v>
      </c>
      <c r="W15" s="11" t="s">
        <v>436</v>
      </c>
    </row>
    <row r="16" customFormat="false" ht="46.25" hidden="false" customHeight="false" outlineLevel="0" collapsed="false">
      <c r="A16" s="11" t="s">
        <v>409</v>
      </c>
      <c r="B16" s="11" t="s">
        <v>428</v>
      </c>
      <c r="C16" s="12" t="s">
        <v>816</v>
      </c>
      <c r="D16" s="11" t="s">
        <v>437</v>
      </c>
      <c r="E16" s="11" t="str">
        <f aca="false">IF(COUNTIFS(Prüfanforderungen!$P$3:$P$181,$W16)=0,"keine Norm hinterlegt",IF($L16=0,"0 € hinterlegt",""))</f>
        <v/>
      </c>
      <c r="F16" s="12" t="s">
        <v>139</v>
      </c>
      <c r="G16" s="12" t="n">
        <v>2</v>
      </c>
      <c r="H16" s="12"/>
      <c r="I16" s="12" t="s">
        <v>42</v>
      </c>
      <c r="J16" s="12" t="s">
        <v>42</v>
      </c>
      <c r="K16" s="11" t="s">
        <v>50</v>
      </c>
      <c r="L16" s="13" t="n">
        <f aca="false">IF(COUNTIFS(Prüfanforderungen!$P$3:$P$181,$W16,Prüfanforderungen!$D$3:$D$181,"Sicherheit-/Normprüfung",Prüfanforderungen!$K$3:$K$181,"&gt;=0")=0,"Preis auf Anfrage",SUMIFS(Prüfanforderungen!$K$3:$K$181,Prüfanforderungen!$P$3:$P$181,$W16,Prüfanforderungen!$D$3:$D$181,"Sicherheit-/Normprüfung"))</f>
        <v>540</v>
      </c>
      <c r="M16" s="11"/>
      <c r="N16" s="11" t="s">
        <v>815</v>
      </c>
      <c r="O16" s="11"/>
      <c r="P16" s="13" t="str">
        <f aca="false">IF(COUNTIFS(Prüfanforderungen!$P$3:$P$181,$W16,Prüfanforderungen!$D$3:$D$181,"FFU/Fitting",Prüfanforderungen!$K$3:$K$181,"&gt;=0")=0,"Preis auf Anfrage",SUMIFS(Prüfanforderungen!$K$3:$K$181,Prüfanforderungen!$P$3:$P$181,$W16,Prüfanforderungen!$D$3:$D$181,"FFU/Fitting"))</f>
        <v>Preis auf Anfrage</v>
      </c>
      <c r="Q16" s="11"/>
      <c r="R16" s="11"/>
      <c r="S16" s="13" t="str">
        <f aca="false">IF(COUNTIFS(Prüfanforderungen!$P$3:$P$181,$W16,Prüfanforderungen!$D$3:$D$181,"NGO / StiWa",Prüfanforderungen!$K$3:$K$181,"&gt;=0")=0,"Preis auf Anfrage",SUMIFS(Prüfanforderungen!$K$3:$K$181,Prüfanforderungen!$P$3:$P$181,$W16,Prüfanforderungen!$D$3:$D$181,"NGO / StiWa"))</f>
        <v>Preis auf Anfrage</v>
      </c>
      <c r="T16" s="11"/>
      <c r="U16" s="13"/>
      <c r="V16" s="13" t="n">
        <v>480</v>
      </c>
      <c r="W16" s="11" t="s">
        <v>438</v>
      </c>
    </row>
    <row r="17" customFormat="false" ht="46.25" hidden="false" customHeight="false" outlineLevel="0" collapsed="false">
      <c r="A17" s="11" t="s">
        <v>409</v>
      </c>
      <c r="B17" s="11" t="s">
        <v>428</v>
      </c>
      <c r="C17" s="12" t="s">
        <v>816</v>
      </c>
      <c r="D17" s="11" t="s">
        <v>439</v>
      </c>
      <c r="E17" s="11" t="str">
        <f aca="false">IF(COUNTIFS(Prüfanforderungen!$P$3:$P$181,$W17)=0,"keine Norm hinterlegt",IF($L17=0,"0 € hinterlegt",""))</f>
        <v>0 € hinterlegt</v>
      </c>
      <c r="F17" s="12" t="s">
        <v>139</v>
      </c>
      <c r="G17" s="12" t="n">
        <v>2</v>
      </c>
      <c r="H17" s="12"/>
      <c r="I17" s="12" t="s">
        <v>42</v>
      </c>
      <c r="J17" s="12" t="s">
        <v>42</v>
      </c>
      <c r="K17" s="11" t="s">
        <v>50</v>
      </c>
      <c r="L17" s="13" t="n">
        <f aca="false">IF(COUNTIFS(Prüfanforderungen!$P$3:$P$181,$W17,Prüfanforderungen!$D$3:$D$181,"Sicherheit-/Normprüfung",Prüfanforderungen!$K$3:$K$181,"&gt;=0")=0,"Preis auf Anfrage",SUMIFS(Prüfanforderungen!$K$3:$K$181,Prüfanforderungen!$P$3:$P$181,$W17,Prüfanforderungen!$D$3:$D$181,"Sicherheit-/Normprüfung"))</f>
        <v>0</v>
      </c>
      <c r="M17" s="11"/>
      <c r="N17" s="11" t="s">
        <v>815</v>
      </c>
      <c r="O17" s="11"/>
      <c r="P17" s="13" t="str">
        <f aca="false">IF(COUNTIFS(Prüfanforderungen!$P$3:$P$181,$W17,Prüfanforderungen!$D$3:$D$181,"FFU/Fitting",Prüfanforderungen!$K$3:$K$181,"&gt;=0")=0,"Preis auf Anfrage",SUMIFS(Prüfanforderungen!$K$3:$K$181,Prüfanforderungen!$P$3:$P$181,$W17,Prüfanforderungen!$D$3:$D$181,"FFU/Fitting"))</f>
        <v>Preis auf Anfrage</v>
      </c>
      <c r="Q17" s="11"/>
      <c r="R17" s="11"/>
      <c r="S17" s="13" t="str">
        <f aca="false">IF(COUNTIFS(Prüfanforderungen!$P$3:$P$181,$W17,Prüfanforderungen!$D$3:$D$181,"NGO / StiWa",Prüfanforderungen!$K$3:$K$181,"&gt;=0")=0,"Preis auf Anfrage",SUMIFS(Prüfanforderungen!$K$3:$K$181,Prüfanforderungen!$P$3:$P$181,$W17,Prüfanforderungen!$D$3:$D$181,"NGO / StiWa"))</f>
        <v>Preis auf Anfrage</v>
      </c>
      <c r="T17" s="11"/>
      <c r="U17" s="13"/>
      <c r="V17" s="13" t="n">
        <v>360</v>
      </c>
      <c r="W17" s="11" t="s">
        <v>440</v>
      </c>
    </row>
    <row r="18" customFormat="false" ht="46.25" hidden="false" customHeight="false" outlineLevel="0" collapsed="false">
      <c r="A18" s="11" t="s">
        <v>409</v>
      </c>
      <c r="B18" s="11" t="s">
        <v>428</v>
      </c>
      <c r="C18" s="12" t="s">
        <v>816</v>
      </c>
      <c r="D18" s="11" t="s">
        <v>441</v>
      </c>
      <c r="E18" s="11" t="str">
        <f aca="false">IF(COUNTIFS(Prüfanforderungen!$P$3:$P$181,$W18)=0,"keine Norm hinterlegt",IF($L18=0,"0 € hinterlegt",""))</f>
        <v>0 € hinterlegt</v>
      </c>
      <c r="F18" s="12" t="s">
        <v>42</v>
      </c>
      <c r="G18" s="12" t="n">
        <v>2</v>
      </c>
      <c r="H18" s="12"/>
      <c r="I18" s="12" t="s">
        <v>42</v>
      </c>
      <c r="J18" s="12" t="s">
        <v>42</v>
      </c>
      <c r="K18" s="11" t="s">
        <v>282</v>
      </c>
      <c r="L18" s="13" t="n">
        <f aca="false">IF(COUNTIFS(Prüfanforderungen!$P$3:$P$181,$W18,Prüfanforderungen!$D$3:$D$181,"Sicherheit-/Normprüfung",Prüfanforderungen!$K$3:$K$181,"&gt;=0")=0,"Preis auf Anfrage",SUMIFS(Prüfanforderungen!$K$3:$K$181,Prüfanforderungen!$P$3:$P$181,$W18,Prüfanforderungen!$D$3:$D$181,"Sicherheit-/Normprüfung"))</f>
        <v>0</v>
      </c>
      <c r="M18" s="11"/>
      <c r="N18" s="11"/>
      <c r="O18" s="11"/>
      <c r="P18" s="13" t="str">
        <f aca="false">IF(COUNTIFS(Prüfanforderungen!$P$3:$P$181,$W18,Prüfanforderungen!$D$3:$D$181,"FFU/Fitting",Prüfanforderungen!$K$3:$K$181,"&gt;=0")=0,"Preis auf Anfrage",SUMIFS(Prüfanforderungen!$K$3:$K$181,Prüfanforderungen!$P$3:$P$181,$W18,Prüfanforderungen!$D$3:$D$181,"FFU/Fitting"))</f>
        <v>Preis auf Anfrage</v>
      </c>
      <c r="Q18" s="11"/>
      <c r="R18" s="11"/>
      <c r="S18" s="13" t="str">
        <f aca="false">IF(COUNTIFS(Prüfanforderungen!$P$3:$P$181,$W18,Prüfanforderungen!$D$3:$D$181,"NGO / StiWa",Prüfanforderungen!$K$3:$K$181,"&gt;=0")=0,"Preis auf Anfrage",SUMIFS(Prüfanforderungen!$K$3:$K$181,Prüfanforderungen!$P$3:$P$181,$W18,Prüfanforderungen!$D$3:$D$181,"NGO / StiWa"))</f>
        <v>Preis auf Anfrage</v>
      </c>
      <c r="T18" s="11"/>
      <c r="U18" s="13"/>
      <c r="V18" s="13" t="n">
        <v>600</v>
      </c>
      <c r="W18" s="11" t="s">
        <v>442</v>
      </c>
    </row>
    <row r="19" customFormat="false" ht="46.25" hidden="false" customHeight="false" outlineLevel="0" collapsed="false">
      <c r="A19" s="11" t="s">
        <v>409</v>
      </c>
      <c r="B19" s="11" t="s">
        <v>428</v>
      </c>
      <c r="C19" s="12" t="s">
        <v>816</v>
      </c>
      <c r="D19" s="11" t="s">
        <v>443</v>
      </c>
      <c r="E19" s="11" t="str">
        <f aca="false">IF(COUNTIFS(Prüfanforderungen!$P$3:$P$181,$W19)=0,"keine Norm hinterlegt",IF($L19=0,"0 € hinterlegt",""))</f>
        <v/>
      </c>
      <c r="F19" s="12" t="s">
        <v>139</v>
      </c>
      <c r="G19" s="12" t="n">
        <v>2</v>
      </c>
      <c r="H19" s="12"/>
      <c r="I19" s="12" t="s">
        <v>42</v>
      </c>
      <c r="J19" s="12" t="s">
        <v>42</v>
      </c>
      <c r="K19" s="11" t="s">
        <v>50</v>
      </c>
      <c r="L19" s="13" t="n">
        <f aca="false">IF(COUNTIFS(Prüfanforderungen!$P$3:$P$181,$W19,Prüfanforderungen!$D$3:$D$181,"Sicherheit-/Normprüfung",Prüfanforderungen!$K$3:$K$181,"&gt;=0")=0,"Preis auf Anfrage",SUMIFS(Prüfanforderungen!$K$3:$K$181,Prüfanforderungen!$P$3:$P$181,$W19,Prüfanforderungen!$D$3:$D$181,"Sicherheit-/Normprüfung"))</f>
        <v>540</v>
      </c>
      <c r="M19" s="11"/>
      <c r="N19" s="11" t="s">
        <v>815</v>
      </c>
      <c r="O19" s="11"/>
      <c r="P19" s="13" t="str">
        <f aca="false">IF(COUNTIFS(Prüfanforderungen!$P$3:$P$181,$W19,Prüfanforderungen!$D$3:$D$181,"FFU/Fitting",Prüfanforderungen!$K$3:$K$181,"&gt;=0")=0,"Preis auf Anfrage",SUMIFS(Prüfanforderungen!$K$3:$K$181,Prüfanforderungen!$P$3:$P$181,$W19,Prüfanforderungen!$D$3:$D$181,"FFU/Fitting"))</f>
        <v>Preis auf Anfrage</v>
      </c>
      <c r="Q19" s="11"/>
      <c r="R19" s="11"/>
      <c r="S19" s="13" t="str">
        <f aca="false">IF(COUNTIFS(Prüfanforderungen!$P$3:$P$181,$W19,Prüfanforderungen!$D$3:$D$181,"NGO / StiWa",Prüfanforderungen!$K$3:$K$181,"&gt;=0")=0,"Preis auf Anfrage",SUMIFS(Prüfanforderungen!$K$3:$K$181,Prüfanforderungen!$P$3:$P$181,$W19,Prüfanforderungen!$D$3:$D$181,"NGO / StiWa"))</f>
        <v>Preis auf Anfrage</v>
      </c>
      <c r="T19" s="11"/>
      <c r="U19" s="13"/>
      <c r="V19" s="13" t="n">
        <v>480</v>
      </c>
      <c r="W19" s="11" t="s">
        <v>444</v>
      </c>
    </row>
    <row r="20" customFormat="false" ht="46.25" hidden="false" customHeight="false" outlineLevel="0" collapsed="false">
      <c r="A20" s="11" t="s">
        <v>409</v>
      </c>
      <c r="B20" s="11" t="s">
        <v>428</v>
      </c>
      <c r="C20" s="12" t="s">
        <v>816</v>
      </c>
      <c r="D20" s="11" t="s">
        <v>445</v>
      </c>
      <c r="E20" s="11" t="str">
        <f aca="false">IF(COUNTIFS(Prüfanforderungen!$P$3:$P$181,$W20)=0,"keine Norm hinterlegt",IF($L20=0,"0 € hinterlegt",""))</f>
        <v>0 € hinterlegt</v>
      </c>
      <c r="F20" s="12" t="s">
        <v>139</v>
      </c>
      <c r="G20" s="12" t="n">
        <v>2</v>
      </c>
      <c r="H20" s="12"/>
      <c r="I20" s="12" t="s">
        <v>42</v>
      </c>
      <c r="J20" s="12" t="s">
        <v>42</v>
      </c>
      <c r="K20" s="11" t="s">
        <v>50</v>
      </c>
      <c r="L20" s="13" t="n">
        <f aca="false">IF(COUNTIFS(Prüfanforderungen!$P$3:$P$181,$W20,Prüfanforderungen!$D$3:$D$181,"Sicherheit-/Normprüfung",Prüfanforderungen!$K$3:$K$181,"&gt;=0")=0,"Preis auf Anfrage",SUMIFS(Prüfanforderungen!$K$3:$K$181,Prüfanforderungen!$P$3:$P$181,$W20,Prüfanforderungen!$D$3:$D$181,"Sicherheit-/Normprüfung"))</f>
        <v>0</v>
      </c>
      <c r="M20" s="11"/>
      <c r="N20" s="11" t="s">
        <v>815</v>
      </c>
      <c r="O20" s="11"/>
      <c r="P20" s="13" t="str">
        <f aca="false">IF(COUNTIFS(Prüfanforderungen!$P$3:$P$181,$W20,Prüfanforderungen!$D$3:$D$181,"FFU/Fitting",Prüfanforderungen!$K$3:$K$181,"&gt;=0")=0,"Preis auf Anfrage",SUMIFS(Prüfanforderungen!$K$3:$K$181,Prüfanforderungen!$P$3:$P$181,$W20,Prüfanforderungen!$D$3:$D$181,"FFU/Fitting"))</f>
        <v>Preis auf Anfrage</v>
      </c>
      <c r="Q20" s="11"/>
      <c r="R20" s="11"/>
      <c r="S20" s="13" t="str">
        <f aca="false">IF(COUNTIFS(Prüfanforderungen!$P$3:$P$181,$W20,Prüfanforderungen!$D$3:$D$181,"NGO / StiWa",Prüfanforderungen!$K$3:$K$181,"&gt;=0")=0,"Preis auf Anfrage",SUMIFS(Prüfanforderungen!$K$3:$K$181,Prüfanforderungen!$P$3:$P$181,$W20,Prüfanforderungen!$D$3:$D$181,"NGO / StiWa"))</f>
        <v>Preis auf Anfrage</v>
      </c>
      <c r="T20" s="11"/>
      <c r="U20" s="13"/>
      <c r="V20" s="13" t="n">
        <v>360</v>
      </c>
      <c r="W20" s="11" t="s">
        <v>446</v>
      </c>
    </row>
    <row r="21" customFormat="false" ht="46.25" hidden="false" customHeight="false" outlineLevel="0" collapsed="false">
      <c r="A21" s="11" t="s">
        <v>409</v>
      </c>
      <c r="B21" s="11" t="s">
        <v>428</v>
      </c>
      <c r="C21" s="12" t="s">
        <v>816</v>
      </c>
      <c r="D21" s="11" t="s">
        <v>447</v>
      </c>
      <c r="E21" s="11" t="str">
        <f aca="false">IF(COUNTIFS(Prüfanforderungen!$P$3:$P$181,$W21)=0,"keine Norm hinterlegt",IF($L21=0,"0 € hinterlegt",""))</f>
        <v>0 € hinterlegt</v>
      </c>
      <c r="F21" s="12" t="s">
        <v>42</v>
      </c>
      <c r="G21" s="12" t="n">
        <v>3</v>
      </c>
      <c r="H21" s="12"/>
      <c r="I21" s="12" t="s">
        <v>42</v>
      </c>
      <c r="J21" s="12" t="s">
        <v>42</v>
      </c>
      <c r="K21" s="11" t="s">
        <v>58</v>
      </c>
      <c r="L21" s="13" t="n">
        <f aca="false">IF(COUNTIFS(Prüfanforderungen!$P$3:$P$181,$W21,Prüfanforderungen!$D$3:$D$181,"Sicherheit-/Normprüfung",Prüfanforderungen!$K$3:$K$181,"&gt;=0")=0,"Preis auf Anfrage",SUMIFS(Prüfanforderungen!$K$3:$K$181,Prüfanforderungen!$P$3:$P$181,$W21,Prüfanforderungen!$D$3:$D$181,"Sicherheit-/Normprüfung"))</f>
        <v>0</v>
      </c>
      <c r="M21" s="11"/>
      <c r="N21" s="11" t="s">
        <v>818</v>
      </c>
      <c r="O21" s="11"/>
      <c r="P21" s="13" t="str">
        <f aca="false">IF(COUNTIFS(Prüfanforderungen!$P$3:$P$181,$W21,Prüfanforderungen!$D$3:$D$181,"FFU/Fitting",Prüfanforderungen!$K$3:$K$181,"&gt;=0")=0,"Preis auf Anfrage",SUMIFS(Prüfanforderungen!$K$3:$K$181,Prüfanforderungen!$P$3:$P$181,$W21,Prüfanforderungen!$D$3:$D$181,"FFU/Fitting"))</f>
        <v>Preis auf Anfrage</v>
      </c>
      <c r="Q21" s="11"/>
      <c r="R21" s="11"/>
      <c r="S21" s="13" t="str">
        <f aca="false">IF(COUNTIFS(Prüfanforderungen!$P$3:$P$181,$W21,Prüfanforderungen!$D$3:$D$181,"NGO / StiWa",Prüfanforderungen!$K$3:$K$181,"&gt;=0")=0,"Preis auf Anfrage",SUMIFS(Prüfanforderungen!$K$3:$K$181,Prüfanforderungen!$P$3:$P$181,$W21,Prüfanforderungen!$D$3:$D$181,"NGO / StiWa"))</f>
        <v>Preis auf Anfrage</v>
      </c>
      <c r="T21" s="11"/>
      <c r="U21" s="13"/>
      <c r="V21" s="13" t="n">
        <v>600</v>
      </c>
      <c r="W21" s="11" t="s">
        <v>448</v>
      </c>
    </row>
    <row r="22" customFormat="false" ht="113.4" hidden="false" customHeight="false" outlineLevel="0" collapsed="false">
      <c r="A22" s="11" t="s">
        <v>409</v>
      </c>
      <c r="B22" s="11" t="s">
        <v>428</v>
      </c>
      <c r="C22" s="12" t="s">
        <v>816</v>
      </c>
      <c r="D22" s="11" t="s">
        <v>449</v>
      </c>
      <c r="E22" s="11" t="str">
        <f aca="false">IF(COUNTIFS(Prüfanforderungen!$P$3:$P$181,$W22)=0,"keine Norm hinterlegt",IF($L22=0,"0 € hinterlegt",""))</f>
        <v>0 € hinterlegt</v>
      </c>
      <c r="F22" s="12" t="s">
        <v>42</v>
      </c>
      <c r="G22" s="12" t="n">
        <v>4</v>
      </c>
      <c r="H22" s="12"/>
      <c r="I22" s="12" t="s">
        <v>42</v>
      </c>
      <c r="J22" s="12" t="s">
        <v>42</v>
      </c>
      <c r="K22" s="11" t="s">
        <v>185</v>
      </c>
      <c r="L22" s="13" t="n">
        <f aca="false">IF(COUNTIFS(Prüfanforderungen!$P$3:$P$181,$W22,Prüfanforderungen!$D$3:$D$181,"Sicherheit-/Normprüfung",Prüfanforderungen!$K$3:$K$181,"&gt;=0")=0,"Preis auf Anfrage",SUMIFS(Prüfanforderungen!$K$3:$K$181,Prüfanforderungen!$P$3:$P$181,$W22,Prüfanforderungen!$D$3:$D$181,"Sicherheit-/Normprüfung"))</f>
        <v>0</v>
      </c>
      <c r="M22" s="11"/>
      <c r="N22" s="11" t="s">
        <v>819</v>
      </c>
      <c r="O22" s="11"/>
      <c r="P22" s="13" t="str">
        <f aca="false">IF(COUNTIFS(Prüfanforderungen!$P$3:$P$181,$W22,Prüfanforderungen!$D$3:$D$181,"FFU/Fitting",Prüfanforderungen!$K$3:$K$181,"&gt;=0")=0,"Preis auf Anfrage",SUMIFS(Prüfanforderungen!$K$3:$K$181,Prüfanforderungen!$P$3:$P$181,$W22,Prüfanforderungen!$D$3:$D$181,"FFU/Fitting"))</f>
        <v>Preis auf Anfrage</v>
      </c>
      <c r="Q22" s="11"/>
      <c r="R22" s="11"/>
      <c r="S22" s="13" t="str">
        <f aca="false">IF(COUNTIFS(Prüfanforderungen!$P$3:$P$181,$W22,Prüfanforderungen!$D$3:$D$181,"NGO / StiWa",Prüfanforderungen!$K$3:$K$181,"&gt;=0")=0,"Preis auf Anfrage",SUMIFS(Prüfanforderungen!$K$3:$K$181,Prüfanforderungen!$P$3:$P$181,$W22,Prüfanforderungen!$D$3:$D$181,"NGO / StiWa"))</f>
        <v>Preis auf Anfrage</v>
      </c>
      <c r="T22" s="11"/>
      <c r="U22" s="13"/>
      <c r="V22" s="13" t="n">
        <v>960</v>
      </c>
      <c r="W22" s="11" t="s">
        <v>450</v>
      </c>
    </row>
    <row r="23" customFormat="false" ht="46.25" hidden="false" customHeight="false" outlineLevel="0" collapsed="false">
      <c r="A23" s="11" t="s">
        <v>409</v>
      </c>
      <c r="B23" s="11" t="s">
        <v>428</v>
      </c>
      <c r="C23" s="12" t="s">
        <v>816</v>
      </c>
      <c r="D23" s="11" t="s">
        <v>451</v>
      </c>
      <c r="E23" s="11" t="str">
        <f aca="false">IF(COUNTIFS(Prüfanforderungen!$P$3:$P$181,$W23)=0,"keine Norm hinterlegt",IF($L23=0,"0 € hinterlegt",""))</f>
        <v>0 € hinterlegt</v>
      </c>
      <c r="F23" s="12" t="s">
        <v>139</v>
      </c>
      <c r="G23" s="12" t="n">
        <v>2</v>
      </c>
      <c r="H23" s="12"/>
      <c r="I23" s="12" t="s">
        <v>42</v>
      </c>
      <c r="J23" s="12" t="s">
        <v>42</v>
      </c>
      <c r="K23" s="11" t="s">
        <v>50</v>
      </c>
      <c r="L23" s="13" t="n">
        <f aca="false">IF(COUNTIFS(Prüfanforderungen!$P$3:$P$181,$W23,Prüfanforderungen!$D$3:$D$181,"Sicherheit-/Normprüfung",Prüfanforderungen!$K$3:$K$181,"&gt;=0")=0,"Preis auf Anfrage",SUMIFS(Prüfanforderungen!$K$3:$K$181,Prüfanforderungen!$P$3:$P$181,$W23,Prüfanforderungen!$D$3:$D$181,"Sicherheit-/Normprüfung"))</f>
        <v>0</v>
      </c>
      <c r="M23" s="11"/>
      <c r="N23" s="11" t="s">
        <v>815</v>
      </c>
      <c r="O23" s="11"/>
      <c r="P23" s="13" t="str">
        <f aca="false">IF(COUNTIFS(Prüfanforderungen!$P$3:$P$181,$W23,Prüfanforderungen!$D$3:$D$181,"FFU/Fitting",Prüfanforderungen!$K$3:$K$181,"&gt;=0")=0,"Preis auf Anfrage",SUMIFS(Prüfanforderungen!$K$3:$K$181,Prüfanforderungen!$P$3:$P$181,$W23,Prüfanforderungen!$D$3:$D$181,"FFU/Fitting"))</f>
        <v>Preis auf Anfrage</v>
      </c>
      <c r="Q23" s="11"/>
      <c r="R23" s="11"/>
      <c r="S23" s="13" t="str">
        <f aca="false">IF(COUNTIFS(Prüfanforderungen!$P$3:$P$181,$W23,Prüfanforderungen!$D$3:$D$181,"NGO / StiWa",Prüfanforderungen!$K$3:$K$181,"&gt;=0")=0,"Preis auf Anfrage",SUMIFS(Prüfanforderungen!$K$3:$K$181,Prüfanforderungen!$P$3:$P$181,$W23,Prüfanforderungen!$D$3:$D$181,"NGO / StiWa"))</f>
        <v>Preis auf Anfrage</v>
      </c>
      <c r="T23" s="11"/>
      <c r="U23" s="13"/>
      <c r="V23" s="13" t="n">
        <v>360</v>
      </c>
      <c r="W23" s="11" t="s">
        <v>452</v>
      </c>
    </row>
    <row r="24" customFormat="false" ht="303.7" hidden="false" customHeight="false" outlineLevel="0" collapsed="false">
      <c r="A24" s="11" t="s">
        <v>409</v>
      </c>
      <c r="B24" s="11" t="s">
        <v>428</v>
      </c>
      <c r="C24" s="12" t="s">
        <v>816</v>
      </c>
      <c r="D24" s="11" t="s">
        <v>453</v>
      </c>
      <c r="E24" s="11" t="str">
        <f aca="false">IF(COUNTIFS(Prüfanforderungen!$P$3:$P$181,$W24)=0,"keine Norm hinterlegt",IF($L24=0,"0 € hinterlegt",""))</f>
        <v>0 € hinterlegt</v>
      </c>
      <c r="F24" s="12" t="s">
        <v>42</v>
      </c>
      <c r="G24" s="12" t="n">
        <v>5</v>
      </c>
      <c r="H24" s="12"/>
      <c r="I24" s="12" t="s">
        <v>42</v>
      </c>
      <c r="J24" s="12" t="s">
        <v>42</v>
      </c>
      <c r="K24" s="11" t="s">
        <v>243</v>
      </c>
      <c r="L24" s="13" t="n">
        <f aca="false">IF(COUNTIFS(Prüfanforderungen!$P$3:$P$181,$W24,Prüfanforderungen!$D$3:$D$181,"Sicherheit-/Normprüfung",Prüfanforderungen!$K$3:$K$181,"&gt;=0")=0,"Preis auf Anfrage",SUMIFS(Prüfanforderungen!$K$3:$K$181,Prüfanforderungen!$P$3:$P$181,$W24,Prüfanforderungen!$D$3:$D$181,"Sicherheit-/Normprüfung"))</f>
        <v>0</v>
      </c>
      <c r="M24" s="11"/>
      <c r="N24" s="11" t="s">
        <v>820</v>
      </c>
      <c r="O24" s="11" t="s">
        <v>209</v>
      </c>
      <c r="P24" s="13" t="n">
        <f aca="false">IF(COUNTIFS(Prüfanforderungen!$P$3:$P$181,$W24,Prüfanforderungen!$D$3:$D$181,"FFU/Fitting",Prüfanforderungen!$K$3:$K$181,"&gt;=0")=0,"Preis auf Anfrage",SUMIFS(Prüfanforderungen!$K$3:$K$181,Prüfanforderungen!$P$3:$P$181,$W24,Prüfanforderungen!$D$3:$D$181,"FFU/Fitting"))</f>
        <v>580</v>
      </c>
      <c r="Q24" s="11"/>
      <c r="R24" s="11"/>
      <c r="S24" s="13" t="str">
        <f aca="false">IF(COUNTIFS(Prüfanforderungen!$P$3:$P$181,$W24,Prüfanforderungen!$D$3:$D$181,"NGO / StiWa",Prüfanforderungen!$K$3:$K$181,"&gt;=0")=0,"Preis auf Anfrage",SUMIFS(Prüfanforderungen!$K$3:$K$181,Prüfanforderungen!$P$3:$P$181,$W24,Prüfanforderungen!$D$3:$D$181,"NGO / StiWa"))</f>
        <v>Preis auf Anfrage</v>
      </c>
      <c r="T24" s="11"/>
      <c r="U24" s="13"/>
      <c r="V24" s="13" t="n">
        <v>1700</v>
      </c>
      <c r="W24" s="11" t="s">
        <v>454</v>
      </c>
    </row>
    <row r="25" customFormat="false" ht="68.65" hidden="false" customHeight="false" outlineLevel="0" collapsed="false">
      <c r="A25" s="11" t="s">
        <v>409</v>
      </c>
      <c r="B25" s="11" t="s">
        <v>428</v>
      </c>
      <c r="C25" s="12" t="s">
        <v>816</v>
      </c>
      <c r="D25" s="11" t="s">
        <v>455</v>
      </c>
      <c r="E25" s="11" t="str">
        <f aca="false">IF(COUNTIFS(Prüfanforderungen!$P$3:$P$181,$W25)=0,"keine Norm hinterlegt",IF($L25=0,"0 € hinterlegt",""))</f>
        <v>0 € hinterlegt</v>
      </c>
      <c r="F25" s="12" t="s">
        <v>42</v>
      </c>
      <c r="G25" s="12" t="n">
        <v>4</v>
      </c>
      <c r="H25" s="12"/>
      <c r="I25" s="12" t="s">
        <v>42</v>
      </c>
      <c r="J25" s="12" t="s">
        <v>42</v>
      </c>
      <c r="K25" s="11" t="s">
        <v>182</v>
      </c>
      <c r="L25" s="13" t="n">
        <f aca="false">IF(COUNTIFS(Prüfanforderungen!$P$3:$P$181,$W25,Prüfanforderungen!$D$3:$D$181,"Sicherheit-/Normprüfung",Prüfanforderungen!$K$3:$K$181,"&gt;=0")=0,"Preis auf Anfrage",SUMIFS(Prüfanforderungen!$K$3:$K$181,Prüfanforderungen!$P$3:$P$181,$W25,Prüfanforderungen!$D$3:$D$181,"Sicherheit-/Normprüfung"))</f>
        <v>0</v>
      </c>
      <c r="M25" s="11"/>
      <c r="N25" s="11" t="s">
        <v>821</v>
      </c>
      <c r="O25" s="11"/>
      <c r="P25" s="13" t="str">
        <f aca="false">IF(COUNTIFS(Prüfanforderungen!$P$3:$P$181,$W25,Prüfanforderungen!$D$3:$D$181,"FFU/Fitting",Prüfanforderungen!$K$3:$K$181,"&gt;=0")=0,"Preis auf Anfrage",SUMIFS(Prüfanforderungen!$K$3:$K$181,Prüfanforderungen!$P$3:$P$181,$W25,Prüfanforderungen!$D$3:$D$181,"FFU/Fitting"))</f>
        <v>Preis auf Anfrage</v>
      </c>
      <c r="Q25" s="11"/>
      <c r="R25" s="11"/>
      <c r="S25" s="13" t="str">
        <f aca="false">IF(COUNTIFS(Prüfanforderungen!$P$3:$P$181,$W25,Prüfanforderungen!$D$3:$D$181,"NGO / StiWa",Prüfanforderungen!$K$3:$K$181,"&gt;=0")=0,"Preis auf Anfrage",SUMIFS(Prüfanforderungen!$K$3:$K$181,Prüfanforderungen!$P$3:$P$181,$W25,Prüfanforderungen!$D$3:$D$181,"NGO / StiWa"))</f>
        <v>Preis auf Anfrage</v>
      </c>
      <c r="T25" s="11"/>
      <c r="U25" s="13"/>
      <c r="V25" s="13" t="n">
        <v>1200</v>
      </c>
      <c r="W25" s="11" t="s">
        <v>456</v>
      </c>
    </row>
    <row r="26" customFormat="false" ht="46.25" hidden="false" customHeight="false" outlineLevel="0" collapsed="false">
      <c r="A26" s="11" t="s">
        <v>409</v>
      </c>
      <c r="B26" s="11" t="s">
        <v>428</v>
      </c>
      <c r="C26" s="12" t="s">
        <v>816</v>
      </c>
      <c r="D26" s="11" t="s">
        <v>457</v>
      </c>
      <c r="E26" s="11" t="str">
        <f aca="false">IF(COUNTIFS(Prüfanforderungen!$P$3:$P$181,$W26)=0,"keine Norm hinterlegt",IF($L26=0,"0 € hinterlegt",""))</f>
        <v>0 € hinterlegt</v>
      </c>
      <c r="F26" s="12" t="s">
        <v>139</v>
      </c>
      <c r="G26" s="12" t="n">
        <v>2</v>
      </c>
      <c r="H26" s="12"/>
      <c r="I26" s="12" t="s">
        <v>42</v>
      </c>
      <c r="J26" s="12" t="s">
        <v>42</v>
      </c>
      <c r="K26" s="11" t="s">
        <v>50</v>
      </c>
      <c r="L26" s="13" t="n">
        <f aca="false">IF(COUNTIFS(Prüfanforderungen!$P$3:$P$181,$W26,Prüfanforderungen!$D$3:$D$181,"Sicherheit-/Normprüfung",Prüfanforderungen!$K$3:$K$181,"&gt;=0")=0,"Preis auf Anfrage",SUMIFS(Prüfanforderungen!$K$3:$K$181,Prüfanforderungen!$P$3:$P$181,$W26,Prüfanforderungen!$D$3:$D$181,"Sicherheit-/Normprüfung"))</f>
        <v>0</v>
      </c>
      <c r="M26" s="11"/>
      <c r="N26" s="11" t="s">
        <v>815</v>
      </c>
      <c r="O26" s="11"/>
      <c r="P26" s="13" t="str">
        <f aca="false">IF(COUNTIFS(Prüfanforderungen!$P$3:$P$181,$W26,Prüfanforderungen!$D$3:$D$181,"FFU/Fitting",Prüfanforderungen!$K$3:$K$181,"&gt;=0")=0,"Preis auf Anfrage",SUMIFS(Prüfanforderungen!$K$3:$K$181,Prüfanforderungen!$P$3:$P$181,$W26,Prüfanforderungen!$D$3:$D$181,"FFU/Fitting"))</f>
        <v>Preis auf Anfrage</v>
      </c>
      <c r="Q26" s="11"/>
      <c r="R26" s="11"/>
      <c r="S26" s="13" t="str">
        <f aca="false">IF(COUNTIFS(Prüfanforderungen!$P$3:$P$181,$W26,Prüfanforderungen!$D$3:$D$181,"NGO / StiWa",Prüfanforderungen!$K$3:$K$181,"&gt;=0")=0,"Preis auf Anfrage",SUMIFS(Prüfanforderungen!$K$3:$K$181,Prüfanforderungen!$P$3:$P$181,$W26,Prüfanforderungen!$D$3:$D$181,"NGO / StiWa"))</f>
        <v>Preis auf Anfrage</v>
      </c>
      <c r="T26" s="11"/>
      <c r="U26" s="13"/>
      <c r="V26" s="13" t="n">
        <v>360</v>
      </c>
      <c r="W26" s="11" t="s">
        <v>458</v>
      </c>
    </row>
    <row r="27" customFormat="false" ht="102.2" hidden="false" customHeight="false" outlineLevel="0" collapsed="false">
      <c r="A27" s="11" t="s">
        <v>409</v>
      </c>
      <c r="B27" s="11" t="s">
        <v>459</v>
      </c>
      <c r="C27" s="12" t="s">
        <v>822</v>
      </c>
      <c r="D27" s="11" t="s">
        <v>433</v>
      </c>
      <c r="E27" s="11" t="str">
        <f aca="false">IF(COUNTIFS(Prüfanforderungen!$P$3:$P$181,$W27)=0,"keine Norm hinterlegt",IF($L27=0,"0 € hinterlegt",""))</f>
        <v/>
      </c>
      <c r="F27" s="12" t="s">
        <v>42</v>
      </c>
      <c r="G27" s="12" t="n">
        <v>2</v>
      </c>
      <c r="H27" s="12"/>
      <c r="I27" s="12" t="s">
        <v>42</v>
      </c>
      <c r="J27" s="12" t="s">
        <v>42</v>
      </c>
      <c r="K27" s="11" t="s">
        <v>194</v>
      </c>
      <c r="L27" s="13" t="str">
        <f aca="false">IF(COUNTIFS(Prüfanforderungen!$P$3:$P$181,$W27,Prüfanforderungen!$D$3:$D$181,"Sicherheit-/Normprüfung",Prüfanforderungen!$K$3:$K$181,"&gt;=0")=0,"Preis auf Anfrage",SUMIFS(Prüfanforderungen!$K$3:$K$181,Prüfanforderungen!$P$3:$P$181,$W27,Prüfanforderungen!$D$3:$D$181,"Sicherheit-/Normprüfung"))</f>
        <v>Preis auf Anfrage</v>
      </c>
      <c r="M27" s="11"/>
      <c r="N27" s="11" t="s">
        <v>817</v>
      </c>
      <c r="O27" s="11"/>
      <c r="P27" s="13" t="str">
        <f aca="false">IF(COUNTIFS(Prüfanforderungen!$P$3:$P$181,$W27,Prüfanforderungen!$D$3:$D$181,"FFU/Fitting",Prüfanforderungen!$K$3:$K$181,"&gt;=0")=0,"Preis auf Anfrage",SUMIFS(Prüfanforderungen!$K$3:$K$181,Prüfanforderungen!$P$3:$P$181,$W27,Prüfanforderungen!$D$3:$D$181,"FFU/Fitting"))</f>
        <v>Preis auf Anfrage</v>
      </c>
      <c r="Q27" s="11"/>
      <c r="R27" s="11"/>
      <c r="S27" s="13" t="str">
        <f aca="false">IF(COUNTIFS(Prüfanforderungen!$P$3:$P$181,$W27,Prüfanforderungen!$D$3:$D$181,"NGO / StiWa",Prüfanforderungen!$K$3:$K$181,"&gt;=0")=0,"Preis auf Anfrage",SUMIFS(Prüfanforderungen!$K$3:$K$181,Prüfanforderungen!$P$3:$P$181,$W27,Prüfanforderungen!$D$3:$D$181,"NGO / StiWa"))</f>
        <v>Preis auf Anfrage</v>
      </c>
      <c r="T27" s="11"/>
      <c r="U27" s="13"/>
      <c r="V27" s="13" t="n">
        <v>960</v>
      </c>
      <c r="W27" s="11" t="s">
        <v>460</v>
      </c>
    </row>
    <row r="28" customFormat="false" ht="46.25" hidden="false" customHeight="false" outlineLevel="0" collapsed="false">
      <c r="A28" s="11" t="s">
        <v>409</v>
      </c>
      <c r="B28" s="11" t="s">
        <v>461</v>
      </c>
      <c r="C28" s="12" t="s">
        <v>823</v>
      </c>
      <c r="D28" s="11" t="s">
        <v>462</v>
      </c>
      <c r="E28" s="11" t="str">
        <f aca="false">IF(COUNTIFS(Prüfanforderungen!$P$3:$P$181,$W28)=0,"keine Norm hinterlegt",IF($L28=0,"0 € hinterlegt",""))</f>
        <v/>
      </c>
      <c r="F28" s="12" t="s">
        <v>42</v>
      </c>
      <c r="G28" s="12" t="n">
        <v>4</v>
      </c>
      <c r="H28" s="12"/>
      <c r="I28" s="12" t="s">
        <v>42</v>
      </c>
      <c r="J28" s="12" t="s">
        <v>42</v>
      </c>
      <c r="K28" s="11" t="s">
        <v>197</v>
      </c>
      <c r="L28" s="13" t="n">
        <f aca="false">IF(COUNTIFS(Prüfanforderungen!$P$3:$P$181,$W28,Prüfanforderungen!$D$3:$D$181,"Sicherheit-/Normprüfung",Prüfanforderungen!$K$3:$K$181,"&gt;=0")=0,"Preis auf Anfrage",SUMIFS(Prüfanforderungen!$K$3:$K$181,Prüfanforderungen!$P$3:$P$181,$W28,Prüfanforderungen!$D$3:$D$181,"Sicherheit-/Normprüfung"))</f>
        <v>540</v>
      </c>
      <c r="M28" s="11"/>
      <c r="N28" s="11" t="s">
        <v>810</v>
      </c>
      <c r="O28" s="11" t="s">
        <v>40</v>
      </c>
      <c r="P28" s="13" t="n">
        <f aca="false">IF(COUNTIFS(Prüfanforderungen!$P$3:$P$181,$W28,Prüfanforderungen!$D$3:$D$181,"FFU/Fitting",Prüfanforderungen!$K$3:$K$181,"&gt;=0")=0,"Preis auf Anfrage",SUMIFS(Prüfanforderungen!$K$3:$K$181,Prüfanforderungen!$P$3:$P$181,$W28,Prüfanforderungen!$D$3:$D$181,"FFU/Fitting"))</f>
        <v>600</v>
      </c>
      <c r="Q28" s="11"/>
      <c r="R28" s="11"/>
      <c r="S28" s="13" t="str">
        <f aca="false">IF(COUNTIFS(Prüfanforderungen!$P$3:$P$181,$W28,Prüfanforderungen!$D$3:$D$181,"NGO / StiWa",Prüfanforderungen!$K$3:$K$181,"&gt;=0")=0,"Preis auf Anfrage",SUMIFS(Prüfanforderungen!$K$3:$K$181,Prüfanforderungen!$P$3:$P$181,$W28,Prüfanforderungen!$D$3:$D$181,"NGO / StiWa"))</f>
        <v>Preis auf Anfrage</v>
      </c>
      <c r="T28" s="11"/>
      <c r="U28" s="13"/>
      <c r="V28" s="13" t="n">
        <v>960</v>
      </c>
      <c r="W28" s="11" t="s">
        <v>463</v>
      </c>
    </row>
    <row r="29" customFormat="false" ht="46.25" hidden="false" customHeight="false" outlineLevel="0" collapsed="false">
      <c r="A29" s="11" t="s">
        <v>409</v>
      </c>
      <c r="B29" s="11" t="s">
        <v>461</v>
      </c>
      <c r="C29" s="12" t="s">
        <v>823</v>
      </c>
      <c r="D29" s="11" t="s">
        <v>464</v>
      </c>
      <c r="E29" s="11" t="str">
        <f aca="false">IF(COUNTIFS(Prüfanforderungen!$P$3:$P$181,$W29)=0,"keine Norm hinterlegt",IF($L29=0,"0 € hinterlegt",""))</f>
        <v/>
      </c>
      <c r="F29" s="12" t="s">
        <v>42</v>
      </c>
      <c r="G29" s="12" t="n">
        <v>4</v>
      </c>
      <c r="H29" s="12"/>
      <c r="I29" s="12" t="s">
        <v>42</v>
      </c>
      <c r="J29" s="12" t="s">
        <v>42</v>
      </c>
      <c r="K29" s="11" t="s">
        <v>197</v>
      </c>
      <c r="L29" s="13" t="n">
        <f aca="false">IF(COUNTIFS(Prüfanforderungen!$P$3:$P$181,$W29,Prüfanforderungen!$D$3:$D$181,"Sicherheit-/Normprüfung",Prüfanforderungen!$K$3:$K$181,"&gt;=0")=0,"Preis auf Anfrage",SUMIFS(Prüfanforderungen!$K$3:$K$181,Prüfanforderungen!$P$3:$P$181,$W29,Prüfanforderungen!$D$3:$D$181,"Sicherheit-/Normprüfung"))</f>
        <v>540</v>
      </c>
      <c r="M29" s="11"/>
      <c r="N29" s="11" t="s">
        <v>810</v>
      </c>
      <c r="O29" s="11" t="s">
        <v>45</v>
      </c>
      <c r="P29" s="13" t="n">
        <f aca="false">IF(COUNTIFS(Prüfanforderungen!$P$3:$P$181,$W29,Prüfanforderungen!$D$3:$D$181,"FFU/Fitting",Prüfanforderungen!$K$3:$K$181,"&gt;=0")=0,"Preis auf Anfrage",SUMIFS(Prüfanforderungen!$K$3:$K$181,Prüfanforderungen!$P$3:$P$181,$W29,Prüfanforderungen!$D$3:$D$181,"FFU/Fitting"))</f>
        <v>960</v>
      </c>
      <c r="Q29" s="11"/>
      <c r="R29" s="11"/>
      <c r="S29" s="13" t="str">
        <f aca="false">IF(COUNTIFS(Prüfanforderungen!$P$3:$P$181,$W29,Prüfanforderungen!$D$3:$D$181,"NGO / StiWa",Prüfanforderungen!$K$3:$K$181,"&gt;=0")=0,"Preis auf Anfrage",SUMIFS(Prüfanforderungen!$K$3:$K$181,Prüfanforderungen!$P$3:$P$181,$W29,Prüfanforderungen!$D$3:$D$181,"NGO / StiWa"))</f>
        <v>Preis auf Anfrage</v>
      </c>
      <c r="T29" s="11"/>
      <c r="U29" s="13"/>
      <c r="V29" s="13" t="n">
        <v>960</v>
      </c>
      <c r="W29" s="11" t="s">
        <v>465</v>
      </c>
    </row>
    <row r="30" customFormat="false" ht="46.25" hidden="false" customHeight="false" outlineLevel="0" collapsed="false">
      <c r="A30" s="11" t="s">
        <v>409</v>
      </c>
      <c r="B30" s="11" t="s">
        <v>466</v>
      </c>
      <c r="C30" s="12" t="s">
        <v>824</v>
      </c>
      <c r="D30" s="11" t="s">
        <v>825</v>
      </c>
      <c r="E30" s="11" t="str">
        <f aca="false">IF(COUNTIFS(Prüfanforderungen!$P$3:$P$181,$W30)=0,"keine Norm hinterlegt",IF($L30=0,"0 € hinterlegt",""))</f>
        <v>keine Norm hinterlegt</v>
      </c>
      <c r="F30" s="12" t="s">
        <v>42</v>
      </c>
      <c r="G30" s="12"/>
      <c r="H30" s="12"/>
      <c r="I30" s="12" t="s">
        <v>42</v>
      </c>
      <c r="J30" s="12" t="s">
        <v>42</v>
      </c>
      <c r="K30" s="11"/>
      <c r="L30" s="13" t="str">
        <f aca="false">IF(COUNTIFS(Prüfanforderungen!$P$3:$P$181,$W30,Prüfanforderungen!$D$3:$D$181,"Sicherheit-/Normprüfung",Prüfanforderungen!$K$3:$K$181,"&gt;=0")=0,"Preis auf Anfrage",SUMIFS(Prüfanforderungen!$K$3:$K$181,Prüfanforderungen!$P$3:$P$181,$W30,Prüfanforderungen!$D$3:$D$181,"Sicherheit-/Normprüfung"))</f>
        <v>Preis auf Anfrage</v>
      </c>
      <c r="M30" s="11"/>
      <c r="N30" s="11"/>
      <c r="O30" s="11"/>
      <c r="P30" s="13" t="str">
        <f aca="false">IF(COUNTIFS(Prüfanforderungen!$P$3:$P$181,$W30,Prüfanforderungen!$D$3:$D$181,"FFU/Fitting",Prüfanforderungen!$K$3:$K$181,"&gt;=0")=0,"Preis auf Anfrage",SUMIFS(Prüfanforderungen!$K$3:$K$181,Prüfanforderungen!$P$3:$P$181,$W30,Prüfanforderungen!$D$3:$D$181,"FFU/Fitting"))</f>
        <v>Preis auf Anfrage</v>
      </c>
      <c r="Q30" s="11"/>
      <c r="R30" s="11"/>
      <c r="S30" s="13" t="str">
        <f aca="false">IF(COUNTIFS(Prüfanforderungen!$P$3:$P$181,$W30,Prüfanforderungen!$D$3:$D$181,"NGO / StiWa",Prüfanforderungen!$K$3:$K$181,"&gt;=0")=0,"Preis auf Anfrage",SUMIFS(Prüfanforderungen!$K$3:$K$181,Prüfanforderungen!$P$3:$P$181,$W30,Prüfanforderungen!$D$3:$D$181,"NGO / StiWa"))</f>
        <v>Preis auf Anfrage</v>
      </c>
      <c r="T30" s="11"/>
      <c r="U30" s="13"/>
      <c r="V30" s="13"/>
      <c r="W30" s="11" t="s">
        <v>826</v>
      </c>
    </row>
    <row r="31" customFormat="false" ht="46.25" hidden="false" customHeight="false" outlineLevel="0" collapsed="false">
      <c r="A31" s="11" t="s">
        <v>409</v>
      </c>
      <c r="B31" s="11" t="s">
        <v>466</v>
      </c>
      <c r="C31" s="12" t="s">
        <v>824</v>
      </c>
      <c r="D31" s="11" t="s">
        <v>467</v>
      </c>
      <c r="E31" s="11" t="str">
        <f aca="false">IF(COUNTIFS(Prüfanforderungen!$P$3:$P$181,$W31)=0,"keine Norm hinterlegt",IF($L31=0,"0 € hinterlegt",""))</f>
        <v>0 € hinterlegt</v>
      </c>
      <c r="F31" s="12" t="s">
        <v>139</v>
      </c>
      <c r="G31" s="12" t="n">
        <v>2</v>
      </c>
      <c r="H31" s="12"/>
      <c r="I31" s="12" t="s">
        <v>42</v>
      </c>
      <c r="J31" s="12" t="s">
        <v>42</v>
      </c>
      <c r="K31" s="11" t="s">
        <v>50</v>
      </c>
      <c r="L31" s="13" t="n">
        <f aca="false">IF(COUNTIFS(Prüfanforderungen!$P$3:$P$181,$W31,Prüfanforderungen!$D$3:$D$181,"Sicherheit-/Normprüfung",Prüfanforderungen!$K$3:$K$181,"&gt;=0")=0,"Preis auf Anfrage",SUMIFS(Prüfanforderungen!$K$3:$K$181,Prüfanforderungen!$P$3:$P$181,$W31,Prüfanforderungen!$D$3:$D$181,"Sicherheit-/Normprüfung"))</f>
        <v>0</v>
      </c>
      <c r="M31" s="11"/>
      <c r="N31" s="11" t="s">
        <v>815</v>
      </c>
      <c r="O31" s="11"/>
      <c r="P31" s="13" t="str">
        <f aca="false">IF(COUNTIFS(Prüfanforderungen!$P$3:$P$181,$W31,Prüfanforderungen!$D$3:$D$181,"FFU/Fitting",Prüfanforderungen!$K$3:$K$181,"&gt;=0")=0,"Preis auf Anfrage",SUMIFS(Prüfanforderungen!$K$3:$K$181,Prüfanforderungen!$P$3:$P$181,$W31,Prüfanforderungen!$D$3:$D$181,"FFU/Fitting"))</f>
        <v>Preis auf Anfrage</v>
      </c>
      <c r="Q31" s="11"/>
      <c r="R31" s="11"/>
      <c r="S31" s="13" t="str">
        <f aca="false">IF(COUNTIFS(Prüfanforderungen!$P$3:$P$181,$W31,Prüfanforderungen!$D$3:$D$181,"NGO / StiWa",Prüfanforderungen!$K$3:$K$181,"&gt;=0")=0,"Preis auf Anfrage",SUMIFS(Prüfanforderungen!$K$3:$K$181,Prüfanforderungen!$P$3:$P$181,$W31,Prüfanforderungen!$D$3:$D$181,"NGO / StiWa"))</f>
        <v>Preis auf Anfrage</v>
      </c>
      <c r="T31" s="11"/>
      <c r="U31" s="13"/>
      <c r="V31" s="13" t="n">
        <v>360</v>
      </c>
      <c r="W31" s="11" t="s">
        <v>468</v>
      </c>
    </row>
    <row r="32" customFormat="false" ht="46.25" hidden="false" customHeight="false" outlineLevel="0" collapsed="false">
      <c r="A32" s="11" t="s">
        <v>409</v>
      </c>
      <c r="B32" s="11" t="s">
        <v>469</v>
      </c>
      <c r="C32" s="12" t="s">
        <v>827</v>
      </c>
      <c r="D32" s="11" t="s">
        <v>470</v>
      </c>
      <c r="E32" s="11" t="str">
        <f aca="false">IF(COUNTIFS(Prüfanforderungen!$P$3:$P$181,$W32)=0,"keine Norm hinterlegt",IF($L32=0,"0 € hinterlegt",""))</f>
        <v>0 € hinterlegt</v>
      </c>
      <c r="F32" s="12" t="s">
        <v>42</v>
      </c>
      <c r="G32" s="12" t="s">
        <v>828</v>
      </c>
      <c r="H32" s="12"/>
      <c r="I32" s="12" t="s">
        <v>42</v>
      </c>
      <c r="J32" s="12" t="s">
        <v>42</v>
      </c>
      <c r="K32" s="11" t="s">
        <v>124</v>
      </c>
      <c r="L32" s="13" t="n">
        <f aca="false">IF(COUNTIFS(Prüfanforderungen!$P$3:$P$181,$W32,Prüfanforderungen!$D$3:$D$181,"Sicherheit-/Normprüfung",Prüfanforderungen!$K$3:$K$181,"&gt;=0")=0,"Preis auf Anfrage",SUMIFS(Prüfanforderungen!$K$3:$K$181,Prüfanforderungen!$P$3:$P$181,$W32,Prüfanforderungen!$D$3:$D$181,"Sicherheit-/Normprüfung"))</f>
        <v>0</v>
      </c>
      <c r="M32" s="11"/>
      <c r="N32" s="11" t="s">
        <v>829</v>
      </c>
      <c r="O32" s="11"/>
      <c r="P32" s="13" t="str">
        <f aca="false">IF(COUNTIFS(Prüfanforderungen!$P$3:$P$181,$W32,Prüfanforderungen!$D$3:$D$181,"FFU/Fitting",Prüfanforderungen!$K$3:$K$181,"&gt;=0")=0,"Preis auf Anfrage",SUMIFS(Prüfanforderungen!$K$3:$K$181,Prüfanforderungen!$P$3:$P$181,$W32,Prüfanforderungen!$D$3:$D$181,"FFU/Fitting"))</f>
        <v>Preis auf Anfrage</v>
      </c>
      <c r="Q32" s="11"/>
      <c r="R32" s="11"/>
      <c r="S32" s="13" t="str">
        <f aca="false">IF(COUNTIFS(Prüfanforderungen!$P$3:$P$181,$W32,Prüfanforderungen!$D$3:$D$181,"NGO / StiWa",Prüfanforderungen!$K$3:$K$181,"&gt;=0")=0,"Preis auf Anfrage",SUMIFS(Prüfanforderungen!$K$3:$K$181,Prüfanforderungen!$P$3:$P$181,$W32,Prüfanforderungen!$D$3:$D$181,"NGO / StiWa"))</f>
        <v>Preis auf Anfrage</v>
      </c>
      <c r="T32" s="11"/>
      <c r="U32" s="13"/>
      <c r="V32" s="13"/>
      <c r="W32" s="11" t="s">
        <v>471</v>
      </c>
    </row>
    <row r="33" customFormat="false" ht="46.25" hidden="false" customHeight="false" outlineLevel="0" collapsed="false">
      <c r="A33" s="11" t="s">
        <v>409</v>
      </c>
      <c r="B33" s="11" t="s">
        <v>472</v>
      </c>
      <c r="C33" s="12" t="s">
        <v>830</v>
      </c>
      <c r="D33" s="11" t="s">
        <v>473</v>
      </c>
      <c r="E33" s="11" t="str">
        <f aca="false">IF(COUNTIFS(Prüfanforderungen!$P$3:$P$181,$W33)=0,"keine Norm hinterlegt",IF($L33=0,"0 € hinterlegt",""))</f>
        <v/>
      </c>
      <c r="F33" s="12" t="s">
        <v>42</v>
      </c>
      <c r="G33" s="12" t="n">
        <v>2</v>
      </c>
      <c r="H33" s="12"/>
      <c r="I33" s="12" t="s">
        <v>42</v>
      </c>
      <c r="J33" s="12" t="s">
        <v>42</v>
      </c>
      <c r="K33" s="11" t="s">
        <v>284</v>
      </c>
      <c r="L33" s="13" t="n">
        <f aca="false">IF(COUNTIFS(Prüfanforderungen!$P$3:$P$181,$W33,Prüfanforderungen!$D$3:$D$181,"Sicherheit-/Normprüfung",Prüfanforderungen!$K$3:$K$181,"&gt;=0")=0,"Preis auf Anfrage",SUMIFS(Prüfanforderungen!$K$3:$K$181,Prüfanforderungen!$P$3:$P$181,$W33,Prüfanforderungen!$D$3:$D$181,"Sicherheit-/Normprüfung"))</f>
        <v>360</v>
      </c>
      <c r="M33" s="11"/>
      <c r="N33" s="11"/>
      <c r="O33" s="11"/>
      <c r="P33" s="13" t="str">
        <f aca="false">IF(COUNTIFS(Prüfanforderungen!$P$3:$P$181,$W33,Prüfanforderungen!$D$3:$D$181,"FFU/Fitting",Prüfanforderungen!$K$3:$K$181,"&gt;=0")=0,"Preis auf Anfrage",SUMIFS(Prüfanforderungen!$K$3:$K$181,Prüfanforderungen!$P$3:$P$181,$W33,Prüfanforderungen!$D$3:$D$181,"FFU/Fitting"))</f>
        <v>Preis auf Anfrage</v>
      </c>
      <c r="Q33" s="11"/>
      <c r="R33" s="11"/>
      <c r="S33" s="13" t="str">
        <f aca="false">IF(COUNTIFS(Prüfanforderungen!$P$3:$P$181,$W33,Prüfanforderungen!$D$3:$D$181,"NGO / StiWa",Prüfanforderungen!$K$3:$K$181,"&gt;=0")=0,"Preis auf Anfrage",SUMIFS(Prüfanforderungen!$K$3:$K$181,Prüfanforderungen!$P$3:$P$181,$W33,Prüfanforderungen!$D$3:$D$181,"NGO / StiWa"))</f>
        <v>Preis auf Anfrage</v>
      </c>
      <c r="T33" s="11"/>
      <c r="U33" s="13"/>
      <c r="V33" s="13"/>
      <c r="W33" s="11" t="s">
        <v>474</v>
      </c>
    </row>
    <row r="34" customFormat="false" ht="46.25" hidden="false" customHeight="false" outlineLevel="0" collapsed="false">
      <c r="A34" s="11" t="s">
        <v>409</v>
      </c>
      <c r="B34" s="11" t="s">
        <v>472</v>
      </c>
      <c r="C34" s="12" t="s">
        <v>830</v>
      </c>
      <c r="D34" s="11" t="s">
        <v>831</v>
      </c>
      <c r="E34" s="11" t="str">
        <f aca="false">IF(COUNTIFS(Prüfanforderungen!$P$3:$P$181,$W34)=0,"keine Norm hinterlegt",IF($L34=0,"0 € hinterlegt",""))</f>
        <v>keine Norm hinterlegt</v>
      </c>
      <c r="F34" s="12" t="s">
        <v>42</v>
      </c>
      <c r="G34" s="12"/>
      <c r="H34" s="12"/>
      <c r="I34" s="12" t="s">
        <v>42</v>
      </c>
      <c r="J34" s="12" t="s">
        <v>42</v>
      </c>
      <c r="K34" s="11"/>
      <c r="L34" s="13" t="str">
        <f aca="false">IF(COUNTIFS(Prüfanforderungen!$P$3:$P$181,$W34,Prüfanforderungen!$D$3:$D$181,"Sicherheit-/Normprüfung",Prüfanforderungen!$K$3:$K$181,"&gt;=0")=0,"Preis auf Anfrage",SUMIFS(Prüfanforderungen!$K$3:$K$181,Prüfanforderungen!$P$3:$P$181,$W34,Prüfanforderungen!$D$3:$D$181,"Sicherheit-/Normprüfung"))</f>
        <v>Preis auf Anfrage</v>
      </c>
      <c r="M34" s="11"/>
      <c r="N34" s="11"/>
      <c r="O34" s="11"/>
      <c r="P34" s="13" t="str">
        <f aca="false">IF(COUNTIFS(Prüfanforderungen!$P$3:$P$181,$W34,Prüfanforderungen!$D$3:$D$181,"FFU/Fitting",Prüfanforderungen!$K$3:$K$181,"&gt;=0")=0,"Preis auf Anfrage",SUMIFS(Prüfanforderungen!$K$3:$K$181,Prüfanforderungen!$P$3:$P$181,$W34,Prüfanforderungen!$D$3:$D$181,"FFU/Fitting"))</f>
        <v>Preis auf Anfrage</v>
      </c>
      <c r="Q34" s="11"/>
      <c r="R34" s="11"/>
      <c r="S34" s="13" t="str">
        <f aca="false">IF(COUNTIFS(Prüfanforderungen!$P$3:$P$181,$W34,Prüfanforderungen!$D$3:$D$181,"NGO / StiWa",Prüfanforderungen!$K$3:$K$181,"&gt;=0")=0,"Preis auf Anfrage",SUMIFS(Prüfanforderungen!$K$3:$K$181,Prüfanforderungen!$P$3:$P$181,$W34,Prüfanforderungen!$D$3:$D$181,"NGO / StiWa"))</f>
        <v>Preis auf Anfrage</v>
      </c>
      <c r="T34" s="11"/>
      <c r="U34" s="13"/>
      <c r="V34" s="13"/>
      <c r="W34" s="11" t="s">
        <v>832</v>
      </c>
    </row>
    <row r="35" customFormat="false" ht="46.25" hidden="false" customHeight="false" outlineLevel="0" collapsed="false">
      <c r="A35" s="11" t="s">
        <v>409</v>
      </c>
      <c r="B35" s="11" t="s">
        <v>472</v>
      </c>
      <c r="C35" s="12" t="s">
        <v>830</v>
      </c>
      <c r="D35" s="11" t="s">
        <v>475</v>
      </c>
      <c r="E35" s="11" t="str">
        <f aca="false">IF(COUNTIFS(Prüfanforderungen!$P$3:$P$181,$W35)=0,"keine Norm hinterlegt",IF($L35=0,"0 € hinterlegt",""))</f>
        <v/>
      </c>
      <c r="F35" s="12" t="s">
        <v>42</v>
      </c>
      <c r="G35" s="12" t="n">
        <v>2</v>
      </c>
      <c r="H35" s="12"/>
      <c r="I35" s="12" t="s">
        <v>42</v>
      </c>
      <c r="J35" s="12" t="s">
        <v>42</v>
      </c>
      <c r="K35" s="11" t="s">
        <v>214</v>
      </c>
      <c r="L35" s="13" t="n">
        <f aca="false">IF(COUNTIFS(Prüfanforderungen!$P$3:$P$181,$W35,Prüfanforderungen!$D$3:$D$181,"Sicherheit-/Normprüfung",Prüfanforderungen!$K$3:$K$181,"&gt;=0")=0,"Preis auf Anfrage",SUMIFS(Prüfanforderungen!$K$3:$K$181,Prüfanforderungen!$P$3:$P$181,$W35,Prüfanforderungen!$D$3:$D$181,"Sicherheit-/Normprüfung"))</f>
        <v>900</v>
      </c>
      <c r="M35" s="11"/>
      <c r="N35" s="11"/>
      <c r="O35" s="11"/>
      <c r="P35" s="13" t="str">
        <f aca="false">IF(COUNTIFS(Prüfanforderungen!$P$3:$P$181,$W35,Prüfanforderungen!$D$3:$D$181,"FFU/Fitting",Prüfanforderungen!$K$3:$K$181,"&gt;=0")=0,"Preis auf Anfrage",SUMIFS(Prüfanforderungen!$K$3:$K$181,Prüfanforderungen!$P$3:$P$181,$W35,Prüfanforderungen!$D$3:$D$181,"FFU/Fitting"))</f>
        <v>Preis auf Anfrage</v>
      </c>
      <c r="Q35" s="11"/>
      <c r="R35" s="11"/>
      <c r="S35" s="13" t="str">
        <f aca="false">IF(COUNTIFS(Prüfanforderungen!$P$3:$P$181,$W35,Prüfanforderungen!$D$3:$D$181,"NGO / StiWa",Prüfanforderungen!$K$3:$K$181,"&gt;=0")=0,"Preis auf Anfrage",SUMIFS(Prüfanforderungen!$K$3:$K$181,Prüfanforderungen!$P$3:$P$181,$W35,Prüfanforderungen!$D$3:$D$181,"NGO / StiWa"))</f>
        <v>Preis auf Anfrage</v>
      </c>
      <c r="T35" s="11"/>
      <c r="U35" s="13" t="n">
        <v>620</v>
      </c>
      <c r="V35" s="13" t="n">
        <v>900</v>
      </c>
      <c r="W35" s="11" t="s">
        <v>476</v>
      </c>
    </row>
    <row r="36" customFormat="false" ht="46.25" hidden="false" customHeight="false" outlineLevel="0" collapsed="false">
      <c r="A36" s="11" t="s">
        <v>409</v>
      </c>
      <c r="B36" s="11" t="s">
        <v>472</v>
      </c>
      <c r="C36" s="12" t="s">
        <v>830</v>
      </c>
      <c r="D36" s="11" t="s">
        <v>477</v>
      </c>
      <c r="E36" s="11" t="str">
        <f aca="false">IF(COUNTIFS(Prüfanforderungen!$P$3:$P$181,$W36)=0,"keine Norm hinterlegt",IF($L36=0,"0 € hinterlegt",""))</f>
        <v>0 € hinterlegt</v>
      </c>
      <c r="F36" s="12" t="s">
        <v>42</v>
      </c>
      <c r="G36" s="12"/>
      <c r="H36" s="12"/>
      <c r="I36" s="12" t="s">
        <v>42</v>
      </c>
      <c r="J36" s="12" t="s">
        <v>42</v>
      </c>
      <c r="K36" s="11" t="s">
        <v>50</v>
      </c>
      <c r="L36" s="13" t="n">
        <f aca="false">IF(COUNTIFS(Prüfanforderungen!$P$3:$P$181,$W36,Prüfanforderungen!$D$3:$D$181,"Sicherheit-/Normprüfung",Prüfanforderungen!$K$3:$K$181,"&gt;=0")=0,"Preis auf Anfrage",SUMIFS(Prüfanforderungen!$K$3:$K$181,Prüfanforderungen!$P$3:$P$181,$W36,Prüfanforderungen!$D$3:$D$181,"Sicherheit-/Normprüfung"))</f>
        <v>0</v>
      </c>
      <c r="M36" s="11"/>
      <c r="N36" s="11" t="s">
        <v>815</v>
      </c>
      <c r="O36" s="11"/>
      <c r="P36" s="13" t="str">
        <f aca="false">IF(COUNTIFS(Prüfanforderungen!$P$3:$P$181,$W36,Prüfanforderungen!$D$3:$D$181,"FFU/Fitting",Prüfanforderungen!$K$3:$K$181,"&gt;=0")=0,"Preis auf Anfrage",SUMIFS(Prüfanforderungen!$K$3:$K$181,Prüfanforderungen!$P$3:$P$181,$W36,Prüfanforderungen!$D$3:$D$181,"FFU/Fitting"))</f>
        <v>Preis auf Anfrage</v>
      </c>
      <c r="Q36" s="11"/>
      <c r="R36" s="11"/>
      <c r="S36" s="13" t="str">
        <f aca="false">IF(COUNTIFS(Prüfanforderungen!$P$3:$P$181,$W36,Prüfanforderungen!$D$3:$D$181,"NGO / StiWa",Prüfanforderungen!$K$3:$K$181,"&gt;=0")=0,"Preis auf Anfrage",SUMIFS(Prüfanforderungen!$K$3:$K$181,Prüfanforderungen!$P$3:$P$181,$W36,Prüfanforderungen!$D$3:$D$181,"NGO / StiWa"))</f>
        <v>Preis auf Anfrage</v>
      </c>
      <c r="T36" s="11"/>
      <c r="U36" s="13"/>
      <c r="V36" s="13" t="n">
        <v>320</v>
      </c>
      <c r="W36" s="11" t="s">
        <v>478</v>
      </c>
    </row>
    <row r="37" customFormat="false" ht="46.25" hidden="false" customHeight="false" outlineLevel="0" collapsed="false">
      <c r="A37" s="11" t="s">
        <v>409</v>
      </c>
      <c r="B37" s="11" t="s">
        <v>472</v>
      </c>
      <c r="C37" s="12" t="s">
        <v>830</v>
      </c>
      <c r="D37" s="11" t="s">
        <v>479</v>
      </c>
      <c r="E37" s="11" t="str">
        <f aca="false">IF(COUNTIFS(Prüfanforderungen!$P$3:$P$181,$W37)=0,"keine Norm hinterlegt",IF($L37=0,"0 € hinterlegt",""))</f>
        <v/>
      </c>
      <c r="F37" s="12" t="s">
        <v>139</v>
      </c>
      <c r="G37" s="12" t="n">
        <v>2</v>
      </c>
      <c r="H37" s="12"/>
      <c r="I37" s="12" t="s">
        <v>42</v>
      </c>
      <c r="J37" s="12" t="s">
        <v>42</v>
      </c>
      <c r="K37" s="11" t="s">
        <v>50</v>
      </c>
      <c r="L37" s="13" t="n">
        <f aca="false">IF(COUNTIFS(Prüfanforderungen!$P$3:$P$181,$W37,Prüfanforderungen!$D$3:$D$181,"Sicherheit-/Normprüfung",Prüfanforderungen!$K$3:$K$181,"&gt;=0")=0,"Preis auf Anfrage",SUMIFS(Prüfanforderungen!$K$3:$K$181,Prüfanforderungen!$P$3:$P$181,$W37,Prüfanforderungen!$D$3:$D$181,"Sicherheit-/Normprüfung"))</f>
        <v>270</v>
      </c>
      <c r="M37" s="11"/>
      <c r="N37" s="11" t="s">
        <v>815</v>
      </c>
      <c r="O37" s="11"/>
      <c r="P37" s="13" t="str">
        <f aca="false">IF(COUNTIFS(Prüfanforderungen!$P$3:$P$181,$W37,Prüfanforderungen!$D$3:$D$181,"FFU/Fitting",Prüfanforderungen!$K$3:$K$181,"&gt;=0")=0,"Preis auf Anfrage",SUMIFS(Prüfanforderungen!$K$3:$K$181,Prüfanforderungen!$P$3:$P$181,$W37,Prüfanforderungen!$D$3:$D$181,"FFU/Fitting"))</f>
        <v>Preis auf Anfrage</v>
      </c>
      <c r="Q37" s="11"/>
      <c r="R37" s="11"/>
      <c r="S37" s="13" t="str">
        <f aca="false">IF(COUNTIFS(Prüfanforderungen!$P$3:$P$181,$W37,Prüfanforderungen!$D$3:$D$181,"NGO / StiWa",Prüfanforderungen!$K$3:$K$181,"&gt;=0")=0,"Preis auf Anfrage",SUMIFS(Prüfanforderungen!$K$3:$K$181,Prüfanforderungen!$P$3:$P$181,$W37,Prüfanforderungen!$D$3:$D$181,"NGO / StiWa"))</f>
        <v>Preis auf Anfrage</v>
      </c>
      <c r="T37" s="11"/>
      <c r="U37" s="13"/>
      <c r="V37" s="13" t="n">
        <v>480</v>
      </c>
      <c r="W37" s="11" t="s">
        <v>480</v>
      </c>
    </row>
    <row r="38" customFormat="false" ht="46.25" hidden="false" customHeight="false" outlineLevel="0" collapsed="false">
      <c r="A38" s="11" t="s">
        <v>409</v>
      </c>
      <c r="B38" s="11" t="s">
        <v>472</v>
      </c>
      <c r="C38" s="12" t="s">
        <v>830</v>
      </c>
      <c r="D38" s="11" t="s">
        <v>481</v>
      </c>
      <c r="E38" s="11" t="str">
        <f aca="false">IF(COUNTIFS(Prüfanforderungen!$P$3:$P$181,$W38)=0,"keine Norm hinterlegt",IF($L38=0,"0 € hinterlegt",""))</f>
        <v/>
      </c>
      <c r="F38" s="12" t="s">
        <v>139</v>
      </c>
      <c r="G38" s="12" t="n">
        <v>2</v>
      </c>
      <c r="H38" s="12"/>
      <c r="I38" s="12" t="s">
        <v>42</v>
      </c>
      <c r="J38" s="12" t="s">
        <v>42</v>
      </c>
      <c r="K38" s="11" t="s">
        <v>50</v>
      </c>
      <c r="L38" s="13" t="n">
        <f aca="false">IF(COUNTIFS(Prüfanforderungen!$P$3:$P$181,$W38,Prüfanforderungen!$D$3:$D$181,"Sicherheit-/Normprüfung",Prüfanforderungen!$K$3:$K$181,"&gt;=0")=0,"Preis auf Anfrage",SUMIFS(Prüfanforderungen!$K$3:$K$181,Prüfanforderungen!$P$3:$P$181,$W38,Prüfanforderungen!$D$3:$D$181,"Sicherheit-/Normprüfung"))</f>
        <v>540</v>
      </c>
      <c r="M38" s="11"/>
      <c r="N38" s="11" t="s">
        <v>815</v>
      </c>
      <c r="O38" s="11"/>
      <c r="P38" s="13" t="str">
        <f aca="false">IF(COUNTIFS(Prüfanforderungen!$P$3:$P$181,$W38,Prüfanforderungen!$D$3:$D$181,"FFU/Fitting",Prüfanforderungen!$K$3:$K$181,"&gt;=0")=0,"Preis auf Anfrage",SUMIFS(Prüfanforderungen!$K$3:$K$181,Prüfanforderungen!$P$3:$P$181,$W38,Prüfanforderungen!$D$3:$D$181,"FFU/Fitting"))</f>
        <v>Preis auf Anfrage</v>
      </c>
      <c r="Q38" s="11"/>
      <c r="R38" s="11"/>
      <c r="S38" s="13" t="str">
        <f aca="false">IF(COUNTIFS(Prüfanforderungen!$P$3:$P$181,$W38,Prüfanforderungen!$D$3:$D$181,"NGO / StiWa",Prüfanforderungen!$K$3:$K$181,"&gt;=0")=0,"Preis auf Anfrage",SUMIFS(Prüfanforderungen!$K$3:$K$181,Prüfanforderungen!$P$3:$P$181,$W38,Prüfanforderungen!$D$3:$D$181,"NGO / StiWa"))</f>
        <v>Preis auf Anfrage</v>
      </c>
      <c r="T38" s="11"/>
      <c r="U38" s="13"/>
      <c r="V38" s="13" t="n">
        <v>480</v>
      </c>
      <c r="W38" s="11" t="s">
        <v>482</v>
      </c>
    </row>
    <row r="39" customFormat="false" ht="46.25" hidden="false" customHeight="false" outlineLevel="0" collapsed="false">
      <c r="A39" s="11" t="s">
        <v>409</v>
      </c>
      <c r="B39" s="11" t="s">
        <v>833</v>
      </c>
      <c r="C39" s="12" t="s">
        <v>834</v>
      </c>
      <c r="D39" s="11" t="s">
        <v>835</v>
      </c>
      <c r="E39" s="11" t="str">
        <f aca="false">IF(COUNTIFS(Prüfanforderungen!$P$3:$P$181,$W39)=0,"keine Norm hinterlegt",IF($L39=0,"0 € hinterlegt",""))</f>
        <v>keine Norm hinterlegt</v>
      </c>
      <c r="F39" s="12" t="s">
        <v>42</v>
      </c>
      <c r="G39" s="12"/>
      <c r="H39" s="12"/>
      <c r="I39" s="12" t="s">
        <v>42</v>
      </c>
      <c r="J39" s="12" t="s">
        <v>42</v>
      </c>
      <c r="K39" s="11"/>
      <c r="L39" s="13" t="str">
        <f aca="false">IF(COUNTIFS(Prüfanforderungen!$P$3:$P$181,$W39,Prüfanforderungen!$D$3:$D$181,"Sicherheit-/Normprüfung",Prüfanforderungen!$K$3:$K$181,"&gt;=0")=0,"Preis auf Anfrage",SUMIFS(Prüfanforderungen!$K$3:$K$181,Prüfanforderungen!$P$3:$P$181,$W39,Prüfanforderungen!$D$3:$D$181,"Sicherheit-/Normprüfung"))</f>
        <v>Preis auf Anfrage</v>
      </c>
      <c r="M39" s="11"/>
      <c r="N39" s="11"/>
      <c r="O39" s="11"/>
      <c r="P39" s="13" t="str">
        <f aca="false">IF(COUNTIFS(Prüfanforderungen!$P$3:$P$181,$W39,Prüfanforderungen!$D$3:$D$181,"FFU/Fitting",Prüfanforderungen!$K$3:$K$181,"&gt;=0")=0,"Preis auf Anfrage",SUMIFS(Prüfanforderungen!$K$3:$K$181,Prüfanforderungen!$P$3:$P$181,$W39,Prüfanforderungen!$D$3:$D$181,"FFU/Fitting"))</f>
        <v>Preis auf Anfrage</v>
      </c>
      <c r="Q39" s="11"/>
      <c r="R39" s="11"/>
      <c r="S39" s="13" t="str">
        <f aca="false">IF(COUNTIFS(Prüfanforderungen!$P$3:$P$181,$W39,Prüfanforderungen!$D$3:$D$181,"NGO / StiWa",Prüfanforderungen!$K$3:$K$181,"&gt;=0")=0,"Preis auf Anfrage",SUMIFS(Prüfanforderungen!$K$3:$K$181,Prüfanforderungen!$P$3:$P$181,$W39,Prüfanforderungen!$D$3:$D$181,"NGO / StiWa"))</f>
        <v>Preis auf Anfrage</v>
      </c>
      <c r="T39" s="11"/>
      <c r="U39" s="13"/>
      <c r="V39" s="13"/>
      <c r="W39" s="11" t="s">
        <v>836</v>
      </c>
    </row>
    <row r="40" customFormat="false" ht="46.25" hidden="false" customHeight="false" outlineLevel="0" collapsed="false">
      <c r="A40" s="11" t="s">
        <v>409</v>
      </c>
      <c r="B40" s="11" t="s">
        <v>483</v>
      </c>
      <c r="C40" s="12" t="s">
        <v>837</v>
      </c>
      <c r="D40" s="11" t="s">
        <v>484</v>
      </c>
      <c r="E40" s="11" t="str">
        <f aca="false">IF(COUNTIFS(Prüfanforderungen!$P$3:$P$181,$W40)=0,"keine Norm hinterlegt",IF($L40=0,"0 € hinterlegt",""))</f>
        <v/>
      </c>
      <c r="F40" s="12" t="s">
        <v>139</v>
      </c>
      <c r="G40" s="12"/>
      <c r="H40" s="12"/>
      <c r="I40" s="12" t="s">
        <v>42</v>
      </c>
      <c r="J40" s="12" t="s">
        <v>42</v>
      </c>
      <c r="K40" s="11" t="s">
        <v>50</v>
      </c>
      <c r="L40" s="13" t="n">
        <f aca="false">IF(COUNTIFS(Prüfanforderungen!$P$3:$P$181,$W40,Prüfanforderungen!$D$3:$D$181,"Sicherheit-/Normprüfung",Prüfanforderungen!$K$3:$K$181,"&gt;=0")=0,"Preis auf Anfrage",SUMIFS(Prüfanforderungen!$K$3:$K$181,Prüfanforderungen!$P$3:$P$181,$W40,Prüfanforderungen!$D$3:$D$181,"Sicherheit-/Normprüfung"))</f>
        <v>270</v>
      </c>
      <c r="M40" s="11"/>
      <c r="N40" s="11" t="s">
        <v>815</v>
      </c>
      <c r="O40" s="11"/>
      <c r="P40" s="13" t="str">
        <f aca="false">IF(COUNTIFS(Prüfanforderungen!$P$3:$P$181,$W40,Prüfanforderungen!$D$3:$D$181,"FFU/Fitting",Prüfanforderungen!$K$3:$K$181,"&gt;=0")=0,"Preis auf Anfrage",SUMIFS(Prüfanforderungen!$K$3:$K$181,Prüfanforderungen!$P$3:$P$181,$W40,Prüfanforderungen!$D$3:$D$181,"FFU/Fitting"))</f>
        <v>Preis auf Anfrage</v>
      </c>
      <c r="Q40" s="11"/>
      <c r="R40" s="11"/>
      <c r="S40" s="13" t="str">
        <f aca="false">IF(COUNTIFS(Prüfanforderungen!$P$3:$P$181,$W40,Prüfanforderungen!$D$3:$D$181,"NGO / StiWa",Prüfanforderungen!$K$3:$K$181,"&gt;=0")=0,"Preis auf Anfrage",SUMIFS(Prüfanforderungen!$K$3:$K$181,Prüfanforderungen!$P$3:$P$181,$W40,Prüfanforderungen!$D$3:$D$181,"NGO / StiWa"))</f>
        <v>Preis auf Anfrage</v>
      </c>
      <c r="T40" s="11"/>
      <c r="U40" s="13"/>
      <c r="V40" s="13"/>
      <c r="W40" s="11" t="s">
        <v>485</v>
      </c>
    </row>
    <row r="41" customFormat="false" ht="46.25" hidden="false" customHeight="false" outlineLevel="0" collapsed="false">
      <c r="A41" s="11" t="s">
        <v>409</v>
      </c>
      <c r="B41" s="11" t="s">
        <v>486</v>
      </c>
      <c r="C41" s="12" t="s">
        <v>838</v>
      </c>
      <c r="D41" s="11" t="s">
        <v>487</v>
      </c>
      <c r="E41" s="11" t="str">
        <f aca="false">IF(COUNTIFS(Prüfanforderungen!$P$3:$P$181,$W41)=0,"keine Norm hinterlegt",IF($L41=0,"0 € hinterlegt",""))</f>
        <v>0 € hinterlegt</v>
      </c>
      <c r="F41" s="12" t="s">
        <v>42</v>
      </c>
      <c r="G41" s="12"/>
      <c r="H41" s="12"/>
      <c r="I41" s="12" t="s">
        <v>42</v>
      </c>
      <c r="J41" s="12" t="s">
        <v>42</v>
      </c>
      <c r="K41" s="11" t="s">
        <v>96</v>
      </c>
      <c r="L41" s="13" t="n">
        <f aca="false">IF(COUNTIFS(Prüfanforderungen!$P$3:$P$181,$W41,Prüfanforderungen!$D$3:$D$181,"Sicherheit-/Normprüfung",Prüfanforderungen!$K$3:$K$181,"&gt;=0")=0,"Preis auf Anfrage",SUMIFS(Prüfanforderungen!$K$3:$K$181,Prüfanforderungen!$P$3:$P$181,$W41,Prüfanforderungen!$D$3:$D$181,"Sicherheit-/Normprüfung"))</f>
        <v>0</v>
      </c>
      <c r="M41" s="11"/>
      <c r="N41" s="11"/>
      <c r="O41" s="11"/>
      <c r="P41" s="13" t="str">
        <f aca="false">IF(COUNTIFS(Prüfanforderungen!$P$3:$P$181,$W41,Prüfanforderungen!$D$3:$D$181,"FFU/Fitting",Prüfanforderungen!$K$3:$K$181,"&gt;=0")=0,"Preis auf Anfrage",SUMIFS(Prüfanforderungen!$K$3:$K$181,Prüfanforderungen!$P$3:$P$181,$W41,Prüfanforderungen!$D$3:$D$181,"FFU/Fitting"))</f>
        <v>Preis auf Anfrage</v>
      </c>
      <c r="Q41" s="11"/>
      <c r="R41" s="11"/>
      <c r="S41" s="13" t="str">
        <f aca="false">IF(COUNTIFS(Prüfanforderungen!$P$3:$P$181,$W41,Prüfanforderungen!$D$3:$D$181,"NGO / StiWa",Prüfanforderungen!$K$3:$K$181,"&gt;=0")=0,"Preis auf Anfrage",SUMIFS(Prüfanforderungen!$K$3:$K$181,Prüfanforderungen!$P$3:$P$181,$W41,Prüfanforderungen!$D$3:$D$181,"NGO / StiWa"))</f>
        <v>Preis auf Anfrage</v>
      </c>
      <c r="T41" s="11"/>
      <c r="U41" s="13"/>
      <c r="V41" s="13"/>
      <c r="W41" s="11" t="s">
        <v>488</v>
      </c>
    </row>
    <row r="42" customFormat="false" ht="46.25" hidden="false" customHeight="false" outlineLevel="0" collapsed="false">
      <c r="A42" s="11" t="s">
        <v>409</v>
      </c>
      <c r="B42" s="11" t="s">
        <v>486</v>
      </c>
      <c r="C42" s="12" t="s">
        <v>838</v>
      </c>
      <c r="D42" s="11" t="s">
        <v>489</v>
      </c>
      <c r="E42" s="11" t="str">
        <f aca="false">IF(COUNTIFS(Prüfanforderungen!$P$3:$P$181,$W42)=0,"keine Norm hinterlegt",IF($L42=0,"0 € hinterlegt",""))</f>
        <v>0 € hinterlegt</v>
      </c>
      <c r="F42" s="12" t="s">
        <v>42</v>
      </c>
      <c r="G42" s="12"/>
      <c r="H42" s="12"/>
      <c r="I42" s="12" t="s">
        <v>42</v>
      </c>
      <c r="J42" s="12" t="s">
        <v>42</v>
      </c>
      <c r="K42" s="11" t="s">
        <v>127</v>
      </c>
      <c r="L42" s="13" t="n">
        <f aca="false">IF(COUNTIFS(Prüfanforderungen!$P$3:$P$181,$W42,Prüfanforderungen!$D$3:$D$181,"Sicherheit-/Normprüfung",Prüfanforderungen!$K$3:$K$181,"&gt;=0")=0,"Preis auf Anfrage",SUMIFS(Prüfanforderungen!$K$3:$K$181,Prüfanforderungen!$P$3:$P$181,$W42,Prüfanforderungen!$D$3:$D$181,"Sicherheit-/Normprüfung"))</f>
        <v>0</v>
      </c>
      <c r="M42" s="11"/>
      <c r="N42" s="11"/>
      <c r="O42" s="11"/>
      <c r="P42" s="13" t="str">
        <f aca="false">IF(COUNTIFS(Prüfanforderungen!$P$3:$P$181,$W42,Prüfanforderungen!$D$3:$D$181,"FFU/Fitting",Prüfanforderungen!$K$3:$K$181,"&gt;=0")=0,"Preis auf Anfrage",SUMIFS(Prüfanforderungen!$K$3:$K$181,Prüfanforderungen!$P$3:$P$181,$W42,Prüfanforderungen!$D$3:$D$181,"FFU/Fitting"))</f>
        <v>Preis auf Anfrage</v>
      </c>
      <c r="Q42" s="11"/>
      <c r="R42" s="11"/>
      <c r="S42" s="13" t="str">
        <f aca="false">IF(COUNTIFS(Prüfanforderungen!$P$3:$P$181,$W42,Prüfanforderungen!$D$3:$D$181,"NGO / StiWa",Prüfanforderungen!$K$3:$K$181,"&gt;=0")=0,"Preis auf Anfrage",SUMIFS(Prüfanforderungen!$K$3:$K$181,Prüfanforderungen!$P$3:$P$181,$W42,Prüfanforderungen!$D$3:$D$181,"NGO / StiWa"))</f>
        <v>Preis auf Anfrage</v>
      </c>
      <c r="T42" s="11"/>
      <c r="U42" s="13"/>
      <c r="V42" s="13"/>
      <c r="W42" s="11" t="s">
        <v>490</v>
      </c>
    </row>
    <row r="43" customFormat="false" ht="46.25" hidden="false" customHeight="false" outlineLevel="0" collapsed="false">
      <c r="A43" s="11" t="s">
        <v>409</v>
      </c>
      <c r="B43" s="11" t="s">
        <v>486</v>
      </c>
      <c r="C43" s="12" t="s">
        <v>838</v>
      </c>
      <c r="D43" s="11" t="s">
        <v>491</v>
      </c>
      <c r="E43" s="11" t="str">
        <f aca="false">IF(COUNTIFS(Prüfanforderungen!$P$3:$P$181,$W43)=0,"keine Norm hinterlegt",IF($L43=0,"0 € hinterlegt",""))</f>
        <v>0 € hinterlegt</v>
      </c>
      <c r="F43" s="12" t="s">
        <v>42</v>
      </c>
      <c r="G43" s="12" t="n">
        <v>6</v>
      </c>
      <c r="H43" s="12"/>
      <c r="I43" s="12" t="s">
        <v>42</v>
      </c>
      <c r="J43" s="12" t="s">
        <v>42</v>
      </c>
      <c r="K43" s="11" t="s">
        <v>276</v>
      </c>
      <c r="L43" s="13" t="n">
        <f aca="false">IF(COUNTIFS(Prüfanforderungen!$P$3:$P$181,$W43,Prüfanforderungen!$D$3:$D$181,"Sicherheit-/Normprüfung",Prüfanforderungen!$K$3:$K$181,"&gt;=0")=0,"Preis auf Anfrage",SUMIFS(Prüfanforderungen!$K$3:$K$181,Prüfanforderungen!$P$3:$P$181,$W43,Prüfanforderungen!$D$3:$D$181,"Sicherheit-/Normprüfung"))</f>
        <v>0</v>
      </c>
      <c r="M43" s="11"/>
      <c r="N43" s="11" t="s">
        <v>839</v>
      </c>
      <c r="O43" s="11" t="s">
        <v>68</v>
      </c>
      <c r="P43" s="13" t="n">
        <f aca="false">IF(COUNTIFS(Prüfanforderungen!$P$3:$P$181,$W43,Prüfanforderungen!$D$3:$D$181,"FFU/Fitting",Prüfanforderungen!$K$3:$K$181,"&gt;=0")=0,"Preis auf Anfrage",SUMIFS(Prüfanforderungen!$K$3:$K$181,Prüfanforderungen!$P$3:$P$181,$W43,Prüfanforderungen!$D$3:$D$181,"FFU/Fitting"))</f>
        <v>460</v>
      </c>
      <c r="Q43" s="11"/>
      <c r="R43" s="11"/>
      <c r="S43" s="13" t="str">
        <f aca="false">IF(COUNTIFS(Prüfanforderungen!$P$3:$P$181,$W43,Prüfanforderungen!$D$3:$D$181,"NGO / StiWa",Prüfanforderungen!$K$3:$K$181,"&gt;=0")=0,"Preis auf Anfrage",SUMIFS(Prüfanforderungen!$K$3:$K$181,Prüfanforderungen!$P$3:$P$181,$W43,Prüfanforderungen!$D$3:$D$181,"NGO / StiWa"))</f>
        <v>Preis auf Anfrage</v>
      </c>
      <c r="T43" s="11"/>
      <c r="U43" s="13"/>
      <c r="V43" s="13" t="n">
        <v>710</v>
      </c>
      <c r="W43" s="11" t="s">
        <v>492</v>
      </c>
    </row>
    <row r="44" customFormat="false" ht="46.25" hidden="false" customHeight="false" outlineLevel="0" collapsed="false">
      <c r="A44" s="11" t="s">
        <v>409</v>
      </c>
      <c r="B44" s="11" t="s">
        <v>486</v>
      </c>
      <c r="C44" s="12" t="s">
        <v>838</v>
      </c>
      <c r="D44" s="11" t="s">
        <v>493</v>
      </c>
      <c r="E44" s="11" t="str">
        <f aca="false">IF(COUNTIFS(Prüfanforderungen!$P$3:$P$181,$W44)=0,"keine Norm hinterlegt",IF($L44=0,"0 € hinterlegt",""))</f>
        <v>0 € hinterlegt</v>
      </c>
      <c r="F44" s="12" t="s">
        <v>42</v>
      </c>
      <c r="G44" s="12"/>
      <c r="H44" s="12"/>
      <c r="I44" s="12" t="s">
        <v>42</v>
      </c>
      <c r="J44" s="12" t="s">
        <v>42</v>
      </c>
      <c r="K44" s="11" t="s">
        <v>200</v>
      </c>
      <c r="L44" s="13" t="n">
        <f aca="false">IF(COUNTIFS(Prüfanforderungen!$P$3:$P$181,$W44,Prüfanforderungen!$D$3:$D$181,"Sicherheit-/Normprüfung",Prüfanforderungen!$K$3:$K$181,"&gt;=0")=0,"Preis auf Anfrage",SUMIFS(Prüfanforderungen!$K$3:$K$181,Prüfanforderungen!$P$3:$P$181,$W44,Prüfanforderungen!$D$3:$D$181,"Sicherheit-/Normprüfung"))</f>
        <v>0</v>
      </c>
      <c r="M44" s="11"/>
      <c r="N44" s="11"/>
      <c r="O44" s="11"/>
      <c r="P44" s="13" t="str">
        <f aca="false">IF(COUNTIFS(Prüfanforderungen!$P$3:$P$181,$W44,Prüfanforderungen!$D$3:$D$181,"FFU/Fitting",Prüfanforderungen!$K$3:$K$181,"&gt;=0")=0,"Preis auf Anfrage",SUMIFS(Prüfanforderungen!$K$3:$K$181,Prüfanforderungen!$P$3:$P$181,$W44,Prüfanforderungen!$D$3:$D$181,"FFU/Fitting"))</f>
        <v>Preis auf Anfrage</v>
      </c>
      <c r="Q44" s="11"/>
      <c r="R44" s="11"/>
      <c r="S44" s="13" t="str">
        <f aca="false">IF(COUNTIFS(Prüfanforderungen!$P$3:$P$181,$W44,Prüfanforderungen!$D$3:$D$181,"NGO / StiWa",Prüfanforderungen!$K$3:$K$181,"&gt;=0")=0,"Preis auf Anfrage",SUMIFS(Prüfanforderungen!$K$3:$K$181,Prüfanforderungen!$P$3:$P$181,$W44,Prüfanforderungen!$D$3:$D$181,"NGO / StiWa"))</f>
        <v>Preis auf Anfrage</v>
      </c>
      <c r="T44" s="11"/>
      <c r="U44" s="13"/>
      <c r="V44" s="13"/>
      <c r="W44" s="11" t="s">
        <v>494</v>
      </c>
    </row>
    <row r="45" customFormat="false" ht="46.25" hidden="false" customHeight="false" outlineLevel="0" collapsed="false">
      <c r="A45" s="11" t="s">
        <v>409</v>
      </c>
      <c r="B45" s="11" t="s">
        <v>486</v>
      </c>
      <c r="C45" s="12" t="s">
        <v>838</v>
      </c>
      <c r="D45" s="11" t="s">
        <v>495</v>
      </c>
      <c r="E45" s="11" t="str">
        <f aca="false">IF(COUNTIFS(Prüfanforderungen!$P$3:$P$181,$W45)=0,"keine Norm hinterlegt",IF($L45=0,"0 € hinterlegt",""))</f>
        <v>0 € hinterlegt</v>
      </c>
      <c r="F45" s="12" t="s">
        <v>42</v>
      </c>
      <c r="G45" s="12" t="n">
        <v>3</v>
      </c>
      <c r="H45" s="12"/>
      <c r="I45" s="12" t="s">
        <v>42</v>
      </c>
      <c r="J45" s="12" t="s">
        <v>42</v>
      </c>
      <c r="K45" s="11" t="s">
        <v>252</v>
      </c>
      <c r="L45" s="13" t="n">
        <f aca="false">IF(COUNTIFS(Prüfanforderungen!$P$3:$P$181,$W45,Prüfanforderungen!$D$3:$D$181,"Sicherheit-/Normprüfung",Prüfanforderungen!$K$3:$K$181,"&gt;=0")=0,"Preis auf Anfrage",SUMIFS(Prüfanforderungen!$K$3:$K$181,Prüfanforderungen!$P$3:$P$181,$W45,Prüfanforderungen!$D$3:$D$181,"Sicherheit-/Normprüfung"))</f>
        <v>0</v>
      </c>
      <c r="M45" s="11"/>
      <c r="N45" s="11" t="s">
        <v>840</v>
      </c>
      <c r="O45" s="11"/>
      <c r="P45" s="13" t="str">
        <f aca="false">IF(COUNTIFS(Prüfanforderungen!$P$3:$P$181,$W45,Prüfanforderungen!$D$3:$D$181,"FFU/Fitting",Prüfanforderungen!$K$3:$K$181,"&gt;=0")=0,"Preis auf Anfrage",SUMIFS(Prüfanforderungen!$K$3:$K$181,Prüfanforderungen!$P$3:$P$181,$W45,Prüfanforderungen!$D$3:$D$181,"FFU/Fitting"))</f>
        <v>Preis auf Anfrage</v>
      </c>
      <c r="Q45" s="11"/>
      <c r="R45" s="11"/>
      <c r="S45" s="13" t="str">
        <f aca="false">IF(COUNTIFS(Prüfanforderungen!$P$3:$P$181,$W45,Prüfanforderungen!$D$3:$D$181,"NGO / StiWa",Prüfanforderungen!$K$3:$K$181,"&gt;=0")=0,"Preis auf Anfrage",SUMIFS(Prüfanforderungen!$K$3:$K$181,Prüfanforderungen!$P$3:$P$181,$W45,Prüfanforderungen!$D$3:$D$181,"NGO / StiWa"))</f>
        <v>Preis auf Anfrage</v>
      </c>
      <c r="T45" s="11"/>
      <c r="U45" s="13"/>
      <c r="V45" s="13" t="n">
        <v>400</v>
      </c>
      <c r="W45" s="11" t="s">
        <v>496</v>
      </c>
    </row>
    <row r="46" customFormat="false" ht="135.8" hidden="false" customHeight="false" outlineLevel="0" collapsed="false">
      <c r="A46" s="11" t="s">
        <v>409</v>
      </c>
      <c r="B46" s="11" t="s">
        <v>486</v>
      </c>
      <c r="C46" s="12" t="s">
        <v>838</v>
      </c>
      <c r="D46" s="11" t="s">
        <v>497</v>
      </c>
      <c r="E46" s="11" t="str">
        <f aca="false">IF(COUNTIFS(Prüfanforderungen!$P$3:$P$181,$W46)=0,"keine Norm hinterlegt",IF($L46=0,"0 € hinterlegt",""))</f>
        <v>0 € hinterlegt</v>
      </c>
      <c r="F46" s="12" t="s">
        <v>42</v>
      </c>
      <c r="G46" s="12" t="n">
        <v>3</v>
      </c>
      <c r="H46" s="12"/>
      <c r="I46" s="12" t="s">
        <v>42</v>
      </c>
      <c r="J46" s="12" t="s">
        <v>42</v>
      </c>
      <c r="K46" s="11" t="s">
        <v>246</v>
      </c>
      <c r="L46" s="13" t="n">
        <f aca="false">IF(COUNTIFS(Prüfanforderungen!$P$3:$P$181,$W46,Prüfanforderungen!$D$3:$D$181,"Sicherheit-/Normprüfung",Prüfanforderungen!$K$3:$K$181,"&gt;=0")=0,"Preis auf Anfrage",SUMIFS(Prüfanforderungen!$K$3:$K$181,Prüfanforderungen!$P$3:$P$181,$W46,Prüfanforderungen!$D$3:$D$181,"Sicherheit-/Normprüfung"))</f>
        <v>0</v>
      </c>
      <c r="M46" s="11"/>
      <c r="N46" s="11" t="s">
        <v>841</v>
      </c>
      <c r="O46" s="11"/>
      <c r="P46" s="13" t="str">
        <f aca="false">IF(COUNTIFS(Prüfanforderungen!$P$3:$P$181,$W46,Prüfanforderungen!$D$3:$D$181,"FFU/Fitting",Prüfanforderungen!$K$3:$K$181,"&gt;=0")=0,"Preis auf Anfrage",SUMIFS(Prüfanforderungen!$K$3:$K$181,Prüfanforderungen!$P$3:$P$181,$W46,Prüfanforderungen!$D$3:$D$181,"FFU/Fitting"))</f>
        <v>Preis auf Anfrage</v>
      </c>
      <c r="Q46" s="11"/>
      <c r="R46" s="11"/>
      <c r="S46" s="13" t="str">
        <f aca="false">IF(COUNTIFS(Prüfanforderungen!$P$3:$P$181,$W46,Prüfanforderungen!$D$3:$D$181,"NGO / StiWa",Prüfanforderungen!$K$3:$K$181,"&gt;=0")=0,"Preis auf Anfrage",SUMIFS(Prüfanforderungen!$K$3:$K$181,Prüfanforderungen!$P$3:$P$181,$W46,Prüfanforderungen!$D$3:$D$181,"NGO / StiWa"))</f>
        <v>Preis auf Anfrage</v>
      </c>
      <c r="T46" s="11"/>
      <c r="U46" s="13"/>
      <c r="V46" s="13" t="n">
        <v>3219</v>
      </c>
      <c r="W46" s="11" t="s">
        <v>498</v>
      </c>
    </row>
    <row r="47" customFormat="false" ht="46.25" hidden="false" customHeight="false" outlineLevel="0" collapsed="false">
      <c r="A47" s="11" t="s">
        <v>409</v>
      </c>
      <c r="B47" s="11" t="s">
        <v>486</v>
      </c>
      <c r="C47" s="12" t="s">
        <v>838</v>
      </c>
      <c r="D47" s="11" t="s">
        <v>499</v>
      </c>
      <c r="E47" s="11" t="str">
        <f aca="false">IF(COUNTIFS(Prüfanforderungen!$P$3:$P$181,$W47)=0,"keine Norm hinterlegt",IF($L47=0,"0 € hinterlegt",""))</f>
        <v>0 € hinterlegt</v>
      </c>
      <c r="F47" s="12" t="s">
        <v>42</v>
      </c>
      <c r="G47" s="12"/>
      <c r="H47" s="12"/>
      <c r="I47" s="12" t="s">
        <v>42</v>
      </c>
      <c r="J47" s="12" t="s">
        <v>42</v>
      </c>
      <c r="K47" s="11" t="s">
        <v>100</v>
      </c>
      <c r="L47" s="13" t="n">
        <f aca="false">IF(COUNTIFS(Prüfanforderungen!$P$3:$P$181,$W47,Prüfanforderungen!$D$3:$D$181,"Sicherheit-/Normprüfung",Prüfanforderungen!$K$3:$K$181,"&gt;=0")=0,"Preis auf Anfrage",SUMIFS(Prüfanforderungen!$K$3:$K$181,Prüfanforderungen!$P$3:$P$181,$W47,Prüfanforderungen!$D$3:$D$181,"Sicherheit-/Normprüfung"))</f>
        <v>0</v>
      </c>
      <c r="M47" s="11"/>
      <c r="N47" s="11"/>
      <c r="O47" s="11"/>
      <c r="P47" s="13" t="str">
        <f aca="false">IF(COUNTIFS(Prüfanforderungen!$P$3:$P$181,$W47,Prüfanforderungen!$D$3:$D$181,"FFU/Fitting",Prüfanforderungen!$K$3:$K$181,"&gt;=0")=0,"Preis auf Anfrage",SUMIFS(Prüfanforderungen!$K$3:$K$181,Prüfanforderungen!$P$3:$P$181,$W47,Prüfanforderungen!$D$3:$D$181,"FFU/Fitting"))</f>
        <v>Preis auf Anfrage</v>
      </c>
      <c r="Q47" s="11"/>
      <c r="R47" s="11"/>
      <c r="S47" s="13" t="str">
        <f aca="false">IF(COUNTIFS(Prüfanforderungen!$P$3:$P$181,$W47,Prüfanforderungen!$D$3:$D$181,"NGO / StiWa",Prüfanforderungen!$K$3:$K$181,"&gt;=0")=0,"Preis auf Anfrage",SUMIFS(Prüfanforderungen!$K$3:$K$181,Prüfanforderungen!$P$3:$P$181,$W47,Prüfanforderungen!$D$3:$D$181,"NGO / StiWa"))</f>
        <v>Preis auf Anfrage</v>
      </c>
      <c r="T47" s="11"/>
      <c r="U47" s="13"/>
      <c r="V47" s="13"/>
      <c r="W47" s="11" t="s">
        <v>500</v>
      </c>
    </row>
    <row r="48" customFormat="false" ht="46.25" hidden="false" customHeight="false" outlineLevel="0" collapsed="false">
      <c r="A48" s="11" t="s">
        <v>409</v>
      </c>
      <c r="B48" s="11" t="s">
        <v>486</v>
      </c>
      <c r="C48" s="12" t="s">
        <v>838</v>
      </c>
      <c r="D48" s="11" t="s">
        <v>501</v>
      </c>
      <c r="E48" s="11" t="str">
        <f aca="false">IF(COUNTIFS(Prüfanforderungen!$P$3:$P$181,$W48)=0,"keine Norm hinterlegt",IF($L48=0,"0 € hinterlegt",""))</f>
        <v>0 € hinterlegt</v>
      </c>
      <c r="F48" s="12" t="s">
        <v>42</v>
      </c>
      <c r="G48" s="12" t="n">
        <v>2</v>
      </c>
      <c r="H48" s="12"/>
      <c r="I48" s="12" t="s">
        <v>42</v>
      </c>
      <c r="J48" s="12" t="s">
        <v>42</v>
      </c>
      <c r="K48" s="11" t="s">
        <v>235</v>
      </c>
      <c r="L48" s="13" t="n">
        <f aca="false">IF(COUNTIFS(Prüfanforderungen!$P$3:$P$181,$W48,Prüfanforderungen!$D$3:$D$181,"Sicherheit-/Normprüfung",Prüfanforderungen!$K$3:$K$181,"&gt;=0")=0,"Preis auf Anfrage",SUMIFS(Prüfanforderungen!$K$3:$K$181,Prüfanforderungen!$P$3:$P$181,$W48,Prüfanforderungen!$D$3:$D$181,"Sicherheit-/Normprüfung"))</f>
        <v>0</v>
      </c>
      <c r="M48" s="11"/>
      <c r="N48" s="11" t="s">
        <v>842</v>
      </c>
      <c r="O48" s="11"/>
      <c r="P48" s="13" t="str">
        <f aca="false">IF(COUNTIFS(Prüfanforderungen!$P$3:$P$181,$W48,Prüfanforderungen!$D$3:$D$181,"FFU/Fitting",Prüfanforderungen!$K$3:$K$181,"&gt;=0")=0,"Preis auf Anfrage",SUMIFS(Prüfanforderungen!$K$3:$K$181,Prüfanforderungen!$P$3:$P$181,$W48,Prüfanforderungen!$D$3:$D$181,"FFU/Fitting"))</f>
        <v>Preis auf Anfrage</v>
      </c>
      <c r="Q48" s="11"/>
      <c r="R48" s="11"/>
      <c r="S48" s="13" t="str">
        <f aca="false">IF(COUNTIFS(Prüfanforderungen!$P$3:$P$181,$W48,Prüfanforderungen!$D$3:$D$181,"NGO / StiWa",Prüfanforderungen!$K$3:$K$181,"&gt;=0")=0,"Preis auf Anfrage",SUMIFS(Prüfanforderungen!$K$3:$K$181,Prüfanforderungen!$P$3:$P$181,$W48,Prüfanforderungen!$D$3:$D$181,"NGO / StiWa"))</f>
        <v>Preis auf Anfrage</v>
      </c>
      <c r="T48" s="11"/>
      <c r="U48" s="13"/>
      <c r="V48" s="13" t="n">
        <v>750</v>
      </c>
      <c r="W48" s="11" t="s">
        <v>502</v>
      </c>
    </row>
    <row r="49" customFormat="false" ht="46.25" hidden="false" customHeight="false" outlineLevel="0" collapsed="false">
      <c r="A49" s="11" t="s">
        <v>409</v>
      </c>
      <c r="B49" s="11" t="s">
        <v>486</v>
      </c>
      <c r="C49" s="12" t="s">
        <v>838</v>
      </c>
      <c r="D49" s="11" t="s">
        <v>503</v>
      </c>
      <c r="E49" s="11" t="str">
        <f aca="false">IF(COUNTIFS(Prüfanforderungen!$P$3:$P$181,$W49)=0,"keine Norm hinterlegt",IF($L49=0,"0 € hinterlegt",""))</f>
        <v>0 € hinterlegt</v>
      </c>
      <c r="F49" s="12" t="s">
        <v>42</v>
      </c>
      <c r="G49" s="12" t="n">
        <v>3</v>
      </c>
      <c r="H49" s="12"/>
      <c r="I49" s="12" t="s">
        <v>42</v>
      </c>
      <c r="J49" s="12" t="s">
        <v>42</v>
      </c>
      <c r="K49" s="11" t="s">
        <v>256</v>
      </c>
      <c r="L49" s="13" t="n">
        <f aca="false">IF(COUNTIFS(Prüfanforderungen!$P$3:$P$181,$W49,Prüfanforderungen!$D$3:$D$181,"Sicherheit-/Normprüfung",Prüfanforderungen!$K$3:$K$181,"&gt;=0")=0,"Preis auf Anfrage",SUMIFS(Prüfanforderungen!$K$3:$K$181,Prüfanforderungen!$P$3:$P$181,$W49,Prüfanforderungen!$D$3:$D$181,"Sicherheit-/Normprüfung"))</f>
        <v>0</v>
      </c>
      <c r="M49" s="11"/>
      <c r="N49" s="11" t="s">
        <v>843</v>
      </c>
      <c r="O49" s="11"/>
      <c r="P49" s="13" t="str">
        <f aca="false">IF(COUNTIFS(Prüfanforderungen!$P$3:$P$181,$W49,Prüfanforderungen!$D$3:$D$181,"FFU/Fitting",Prüfanforderungen!$K$3:$K$181,"&gt;=0")=0,"Preis auf Anfrage",SUMIFS(Prüfanforderungen!$K$3:$K$181,Prüfanforderungen!$P$3:$P$181,$W49,Prüfanforderungen!$D$3:$D$181,"FFU/Fitting"))</f>
        <v>Preis auf Anfrage</v>
      </c>
      <c r="Q49" s="11"/>
      <c r="R49" s="11"/>
      <c r="S49" s="13" t="str">
        <f aca="false">IF(COUNTIFS(Prüfanforderungen!$P$3:$P$181,$W49,Prüfanforderungen!$D$3:$D$181,"NGO / StiWa",Prüfanforderungen!$K$3:$K$181,"&gt;=0")=0,"Preis auf Anfrage",SUMIFS(Prüfanforderungen!$K$3:$K$181,Prüfanforderungen!$P$3:$P$181,$W49,Prüfanforderungen!$D$3:$D$181,"NGO / StiWa"))</f>
        <v>Preis auf Anfrage</v>
      </c>
      <c r="T49" s="11"/>
      <c r="U49" s="13"/>
      <c r="V49" s="13" t="n">
        <v>950</v>
      </c>
      <c r="W49" s="11" t="s">
        <v>504</v>
      </c>
    </row>
    <row r="50" customFormat="false" ht="46.25" hidden="false" customHeight="false" outlineLevel="0" collapsed="false">
      <c r="A50" s="11" t="s">
        <v>409</v>
      </c>
      <c r="B50" s="11" t="s">
        <v>486</v>
      </c>
      <c r="C50" s="12" t="s">
        <v>838</v>
      </c>
      <c r="D50" s="11" t="s">
        <v>505</v>
      </c>
      <c r="E50" s="11" t="str">
        <f aca="false">IF(COUNTIFS(Prüfanforderungen!$P$3:$P$181,$W50)=0,"keine Norm hinterlegt",IF($L50=0,"0 € hinterlegt",""))</f>
        <v>0 € hinterlegt</v>
      </c>
      <c r="F50" s="12" t="s">
        <v>42</v>
      </c>
      <c r="G50" s="12"/>
      <c r="H50" s="12"/>
      <c r="I50" s="12" t="s">
        <v>42</v>
      </c>
      <c r="J50" s="12" t="s">
        <v>42</v>
      </c>
      <c r="K50" s="11" t="s">
        <v>155</v>
      </c>
      <c r="L50" s="13" t="n">
        <f aca="false">IF(COUNTIFS(Prüfanforderungen!$P$3:$P$181,$W50,Prüfanforderungen!$D$3:$D$181,"Sicherheit-/Normprüfung",Prüfanforderungen!$K$3:$K$181,"&gt;=0")=0,"Preis auf Anfrage",SUMIFS(Prüfanforderungen!$K$3:$K$181,Prüfanforderungen!$P$3:$P$181,$W50,Prüfanforderungen!$D$3:$D$181,"Sicherheit-/Normprüfung"))</f>
        <v>0</v>
      </c>
      <c r="M50" s="11"/>
      <c r="N50" s="11"/>
      <c r="O50" s="11"/>
      <c r="P50" s="13" t="str">
        <f aca="false">IF(COUNTIFS(Prüfanforderungen!$P$3:$P$181,$W50,Prüfanforderungen!$D$3:$D$181,"FFU/Fitting",Prüfanforderungen!$K$3:$K$181,"&gt;=0")=0,"Preis auf Anfrage",SUMIFS(Prüfanforderungen!$K$3:$K$181,Prüfanforderungen!$P$3:$P$181,$W50,Prüfanforderungen!$D$3:$D$181,"FFU/Fitting"))</f>
        <v>Preis auf Anfrage</v>
      </c>
      <c r="Q50" s="11"/>
      <c r="R50" s="11"/>
      <c r="S50" s="13" t="str">
        <f aca="false">IF(COUNTIFS(Prüfanforderungen!$P$3:$P$181,$W50,Prüfanforderungen!$D$3:$D$181,"NGO / StiWa",Prüfanforderungen!$K$3:$K$181,"&gt;=0")=0,"Preis auf Anfrage",SUMIFS(Prüfanforderungen!$K$3:$K$181,Prüfanforderungen!$P$3:$P$181,$W50,Prüfanforderungen!$D$3:$D$181,"NGO / StiWa"))</f>
        <v>Preis auf Anfrage</v>
      </c>
      <c r="T50" s="11"/>
      <c r="U50" s="13"/>
      <c r="V50" s="13"/>
      <c r="W50" s="11" t="s">
        <v>506</v>
      </c>
    </row>
    <row r="51" customFormat="false" ht="46.25" hidden="false" customHeight="false" outlineLevel="0" collapsed="false">
      <c r="A51" s="11" t="s">
        <v>409</v>
      </c>
      <c r="B51" s="11" t="s">
        <v>486</v>
      </c>
      <c r="C51" s="12" t="s">
        <v>838</v>
      </c>
      <c r="D51" s="11" t="s">
        <v>507</v>
      </c>
      <c r="E51" s="11" t="str">
        <f aca="false">IF(COUNTIFS(Prüfanforderungen!$P$3:$P$181,$W51)=0,"keine Norm hinterlegt",IF($L51=0,"0 € hinterlegt",""))</f>
        <v>0 € hinterlegt</v>
      </c>
      <c r="F51" s="12" t="s">
        <v>42</v>
      </c>
      <c r="G51" s="12"/>
      <c r="H51" s="12"/>
      <c r="I51" s="12" t="s">
        <v>42</v>
      </c>
      <c r="J51" s="12" t="s">
        <v>42</v>
      </c>
      <c r="K51" s="11" t="s">
        <v>293</v>
      </c>
      <c r="L51" s="13" t="n">
        <f aca="false">IF(COUNTIFS(Prüfanforderungen!$P$3:$P$181,$W51,Prüfanforderungen!$D$3:$D$181,"Sicherheit-/Normprüfung",Prüfanforderungen!$K$3:$K$181,"&gt;=0")=0,"Preis auf Anfrage",SUMIFS(Prüfanforderungen!$K$3:$K$181,Prüfanforderungen!$P$3:$P$181,$W51,Prüfanforderungen!$D$3:$D$181,"Sicherheit-/Normprüfung"))</f>
        <v>0</v>
      </c>
      <c r="M51" s="11"/>
      <c r="N51" s="11"/>
      <c r="O51" s="11"/>
      <c r="P51" s="13" t="str">
        <f aca="false">IF(COUNTIFS(Prüfanforderungen!$P$3:$P$181,$W51,Prüfanforderungen!$D$3:$D$181,"FFU/Fitting",Prüfanforderungen!$K$3:$K$181,"&gt;=0")=0,"Preis auf Anfrage",SUMIFS(Prüfanforderungen!$K$3:$K$181,Prüfanforderungen!$P$3:$P$181,$W51,Prüfanforderungen!$D$3:$D$181,"FFU/Fitting"))</f>
        <v>Preis auf Anfrage</v>
      </c>
      <c r="Q51" s="11"/>
      <c r="R51" s="11"/>
      <c r="S51" s="13" t="str">
        <f aca="false">IF(COUNTIFS(Prüfanforderungen!$P$3:$P$181,$W51,Prüfanforderungen!$D$3:$D$181,"NGO / StiWa",Prüfanforderungen!$K$3:$K$181,"&gt;=0")=0,"Preis auf Anfrage",SUMIFS(Prüfanforderungen!$K$3:$K$181,Prüfanforderungen!$P$3:$P$181,$W51,Prüfanforderungen!$D$3:$D$181,"NGO / StiWa"))</f>
        <v>Preis auf Anfrage</v>
      </c>
      <c r="T51" s="11"/>
      <c r="U51" s="13"/>
      <c r="V51" s="13"/>
      <c r="W51" s="11" t="s">
        <v>508</v>
      </c>
    </row>
    <row r="52" customFormat="false" ht="46.25" hidden="false" customHeight="false" outlineLevel="0" collapsed="false">
      <c r="A52" s="11" t="s">
        <v>409</v>
      </c>
      <c r="B52" s="11" t="s">
        <v>509</v>
      </c>
      <c r="C52" s="12" t="s">
        <v>844</v>
      </c>
      <c r="D52" s="11" t="s">
        <v>509</v>
      </c>
      <c r="E52" s="11" t="str">
        <f aca="false">IF(COUNTIFS(Prüfanforderungen!$P$3:$P$181,$W52)=0,"keine Norm hinterlegt",IF($L52=0,"0 € hinterlegt",""))</f>
        <v/>
      </c>
      <c r="F52" s="12" t="s">
        <v>42</v>
      </c>
      <c r="G52" s="12" t="n">
        <v>2</v>
      </c>
      <c r="H52" s="12"/>
      <c r="I52" s="12" t="s">
        <v>42</v>
      </c>
      <c r="J52" s="12" t="s">
        <v>42</v>
      </c>
      <c r="K52" s="11" t="s">
        <v>124</v>
      </c>
      <c r="L52" s="13" t="n">
        <f aca="false">IF(COUNTIFS(Prüfanforderungen!$P$3:$P$181,$W52,Prüfanforderungen!$D$3:$D$181,"Sicherheit-/Normprüfung",Prüfanforderungen!$K$3:$K$181,"&gt;=0")=0,"Preis auf Anfrage",SUMIFS(Prüfanforderungen!$K$3:$K$181,Prüfanforderungen!$P$3:$P$181,$W52,Prüfanforderungen!$D$3:$D$181,"Sicherheit-/Normprüfung"))</f>
        <v>1450</v>
      </c>
      <c r="M52" s="11"/>
      <c r="N52" s="11" t="s">
        <v>829</v>
      </c>
      <c r="O52" s="11" t="s">
        <v>77</v>
      </c>
      <c r="P52" s="13" t="n">
        <f aca="false">IF(COUNTIFS(Prüfanforderungen!$P$3:$P$181,$W52,Prüfanforderungen!$D$3:$D$181,"FFU/Fitting",Prüfanforderungen!$K$3:$K$181,"&gt;=0")=0,"Preis auf Anfrage",SUMIFS(Prüfanforderungen!$K$3:$K$181,Prüfanforderungen!$P$3:$P$181,$W52,Prüfanforderungen!$D$3:$D$181,"FFU/Fitting"))</f>
        <v>820</v>
      </c>
      <c r="Q52" s="11"/>
      <c r="R52" s="11" t="s">
        <v>260</v>
      </c>
      <c r="S52" s="13" t="n">
        <f aca="false">IF(COUNTIFS(Prüfanforderungen!$P$3:$P$181,$W52,Prüfanforderungen!$D$3:$D$181,"NGO / StiWa",Prüfanforderungen!$K$3:$K$181,"&gt;=0")=0,"Preis auf Anfrage",SUMIFS(Prüfanforderungen!$K$3:$K$181,Prüfanforderungen!$P$3:$P$181,$W52,Prüfanforderungen!$D$3:$D$181,"NGO / StiWa"))</f>
        <v>2420</v>
      </c>
      <c r="T52" s="11"/>
      <c r="U52" s="13" t="n">
        <v>1060</v>
      </c>
      <c r="V52" s="13" t="n">
        <v>1920</v>
      </c>
      <c r="W52" s="11" t="s">
        <v>510</v>
      </c>
    </row>
    <row r="53" customFormat="false" ht="46.25" hidden="false" customHeight="false" outlineLevel="0" collapsed="false">
      <c r="A53" s="11" t="s">
        <v>409</v>
      </c>
      <c r="B53" s="11" t="s">
        <v>512</v>
      </c>
      <c r="C53" s="12" t="s">
        <v>845</v>
      </c>
      <c r="D53" s="11" t="s">
        <v>513</v>
      </c>
      <c r="E53" s="11" t="str">
        <f aca="false">IF(COUNTIFS(Prüfanforderungen!$P$3:$P$181,$W53)=0,"keine Norm hinterlegt",IF($L53=0,"0 € hinterlegt",""))</f>
        <v/>
      </c>
      <c r="F53" s="12" t="s">
        <v>139</v>
      </c>
      <c r="G53" s="12"/>
      <c r="H53" s="12"/>
      <c r="I53" s="12" t="s">
        <v>42</v>
      </c>
      <c r="J53" s="12" t="s">
        <v>42</v>
      </c>
      <c r="K53" s="11" t="s">
        <v>50</v>
      </c>
      <c r="L53" s="13" t="n">
        <f aca="false">IF(COUNTIFS(Prüfanforderungen!$P$3:$P$181,$W53,Prüfanforderungen!$D$3:$D$181,"Sicherheit-/Normprüfung",Prüfanforderungen!$K$3:$K$181,"&gt;=0")=0,"Preis auf Anfrage",SUMIFS(Prüfanforderungen!$K$3:$K$181,Prüfanforderungen!$P$3:$P$181,$W53,Prüfanforderungen!$D$3:$D$181,"Sicherheit-/Normprüfung"))</f>
        <v>720</v>
      </c>
      <c r="M53" s="11"/>
      <c r="N53" s="11" t="s">
        <v>815</v>
      </c>
      <c r="O53" s="11"/>
      <c r="P53" s="13" t="str">
        <f aca="false">IF(COUNTIFS(Prüfanforderungen!$P$3:$P$181,$W53,Prüfanforderungen!$D$3:$D$181,"FFU/Fitting",Prüfanforderungen!$K$3:$K$181,"&gt;=0")=0,"Preis auf Anfrage",SUMIFS(Prüfanforderungen!$K$3:$K$181,Prüfanforderungen!$P$3:$P$181,$W53,Prüfanforderungen!$D$3:$D$181,"FFU/Fitting"))</f>
        <v>Preis auf Anfrage</v>
      </c>
      <c r="Q53" s="11"/>
      <c r="R53" s="11"/>
      <c r="S53" s="13" t="str">
        <f aca="false">IF(COUNTIFS(Prüfanforderungen!$P$3:$P$181,$W53,Prüfanforderungen!$D$3:$D$181,"NGO / StiWa",Prüfanforderungen!$K$3:$K$181,"&gt;=0")=0,"Preis auf Anfrage",SUMIFS(Prüfanforderungen!$K$3:$K$181,Prüfanforderungen!$P$3:$P$181,$W53,Prüfanforderungen!$D$3:$D$181,"NGO / StiWa"))</f>
        <v>Preis auf Anfrage</v>
      </c>
      <c r="T53" s="11"/>
      <c r="U53" s="13"/>
      <c r="V53" s="13" t="n">
        <v>360</v>
      </c>
      <c r="W53" s="11" t="s">
        <v>514</v>
      </c>
    </row>
    <row r="54" customFormat="false" ht="46.25" hidden="false" customHeight="false" outlineLevel="0" collapsed="false">
      <c r="A54" s="11" t="s">
        <v>409</v>
      </c>
      <c r="B54" s="11" t="s">
        <v>515</v>
      </c>
      <c r="C54" s="12" t="s">
        <v>846</v>
      </c>
      <c r="D54" s="11" t="s">
        <v>516</v>
      </c>
      <c r="E54" s="11" t="str">
        <f aca="false">IF(COUNTIFS(Prüfanforderungen!$P$3:$P$181,$W54)=0,"keine Norm hinterlegt",IF($L54=0,"0 € hinterlegt",""))</f>
        <v/>
      </c>
      <c r="F54" s="12" t="s">
        <v>42</v>
      </c>
      <c r="G54" s="12" t="n">
        <v>2</v>
      </c>
      <c r="H54" s="12"/>
      <c r="I54" s="12" t="s">
        <v>42</v>
      </c>
      <c r="J54" s="12" t="s">
        <v>42</v>
      </c>
      <c r="K54" s="11" t="s">
        <v>177</v>
      </c>
      <c r="L54" s="13" t="n">
        <f aca="false">IF(COUNTIFS(Prüfanforderungen!$P$3:$P$181,$W54,Prüfanforderungen!$D$3:$D$181,"Sicherheit-/Normprüfung",Prüfanforderungen!$K$3:$K$181,"&gt;=0")=0,"Preis auf Anfrage",SUMIFS(Prüfanforderungen!$K$3:$K$181,Prüfanforderungen!$P$3:$P$181,$W54,Prüfanforderungen!$D$3:$D$181,"Sicherheit-/Normprüfung"))</f>
        <v>900</v>
      </c>
      <c r="M54" s="11"/>
      <c r="N54" s="11"/>
      <c r="O54" s="11"/>
      <c r="P54" s="13" t="str">
        <f aca="false">IF(COUNTIFS(Prüfanforderungen!$P$3:$P$181,$W54,Prüfanforderungen!$D$3:$D$181,"FFU/Fitting",Prüfanforderungen!$K$3:$K$181,"&gt;=0")=0,"Preis auf Anfrage",SUMIFS(Prüfanforderungen!$K$3:$K$181,Prüfanforderungen!$P$3:$P$181,$W54,Prüfanforderungen!$D$3:$D$181,"FFU/Fitting"))</f>
        <v>Preis auf Anfrage</v>
      </c>
      <c r="Q54" s="11"/>
      <c r="R54" s="11"/>
      <c r="S54" s="13" t="str">
        <f aca="false">IF(COUNTIFS(Prüfanforderungen!$P$3:$P$181,$W54,Prüfanforderungen!$D$3:$D$181,"NGO / StiWa",Prüfanforderungen!$K$3:$K$181,"&gt;=0")=0,"Preis auf Anfrage",SUMIFS(Prüfanforderungen!$K$3:$K$181,Prüfanforderungen!$P$3:$P$181,$W54,Prüfanforderungen!$D$3:$D$181,"NGO / StiWa"))</f>
        <v>Preis auf Anfrage</v>
      </c>
      <c r="T54" s="11"/>
      <c r="U54" s="13"/>
      <c r="V54" s="13" t="n">
        <v>960</v>
      </c>
      <c r="W54" s="11" t="s">
        <v>517</v>
      </c>
    </row>
    <row r="55" customFormat="false" ht="46.25" hidden="false" customHeight="false" outlineLevel="0" collapsed="false">
      <c r="A55" s="11" t="s">
        <v>409</v>
      </c>
      <c r="B55" s="11" t="s">
        <v>515</v>
      </c>
      <c r="C55" s="12" t="s">
        <v>846</v>
      </c>
      <c r="D55" s="11" t="s">
        <v>518</v>
      </c>
      <c r="E55" s="11" t="str">
        <f aca="false">IF(COUNTIFS(Prüfanforderungen!$P$3:$P$181,$W55)=0,"keine Norm hinterlegt",IF($L55=0,"0 € hinterlegt",""))</f>
        <v/>
      </c>
      <c r="F55" s="12" t="s">
        <v>139</v>
      </c>
      <c r="G55" s="12" t="n">
        <v>2</v>
      </c>
      <c r="H55" s="12"/>
      <c r="I55" s="12" t="s">
        <v>42</v>
      </c>
      <c r="J55" s="12" t="s">
        <v>42</v>
      </c>
      <c r="K55" s="11" t="s">
        <v>50</v>
      </c>
      <c r="L55" s="13" t="n">
        <f aca="false">IF(COUNTIFS(Prüfanforderungen!$P$3:$P$181,$W55,Prüfanforderungen!$D$3:$D$181,"Sicherheit-/Normprüfung",Prüfanforderungen!$K$3:$K$181,"&gt;=0")=0,"Preis auf Anfrage",SUMIFS(Prüfanforderungen!$K$3:$K$181,Prüfanforderungen!$P$3:$P$181,$W55,Prüfanforderungen!$D$3:$D$181,"Sicherheit-/Normprüfung"))</f>
        <v>540</v>
      </c>
      <c r="M55" s="11"/>
      <c r="N55" s="11" t="s">
        <v>815</v>
      </c>
      <c r="O55" s="11"/>
      <c r="P55" s="13" t="str">
        <f aca="false">IF(COUNTIFS(Prüfanforderungen!$P$3:$P$181,$W55,Prüfanforderungen!$D$3:$D$181,"FFU/Fitting",Prüfanforderungen!$K$3:$K$181,"&gt;=0")=0,"Preis auf Anfrage",SUMIFS(Prüfanforderungen!$K$3:$K$181,Prüfanforderungen!$P$3:$P$181,$W55,Prüfanforderungen!$D$3:$D$181,"FFU/Fitting"))</f>
        <v>Preis auf Anfrage</v>
      </c>
      <c r="Q55" s="11"/>
      <c r="R55" s="11"/>
      <c r="S55" s="13" t="str">
        <f aca="false">IF(COUNTIFS(Prüfanforderungen!$P$3:$P$181,$W55,Prüfanforderungen!$D$3:$D$181,"NGO / StiWa",Prüfanforderungen!$K$3:$K$181,"&gt;=0")=0,"Preis auf Anfrage",SUMIFS(Prüfanforderungen!$K$3:$K$181,Prüfanforderungen!$P$3:$P$181,$W55,Prüfanforderungen!$D$3:$D$181,"NGO / StiWa"))</f>
        <v>Preis auf Anfrage</v>
      </c>
      <c r="T55" s="11"/>
      <c r="U55" s="13"/>
      <c r="V55" s="13" t="n">
        <v>480</v>
      </c>
      <c r="W55" s="11" t="s">
        <v>519</v>
      </c>
    </row>
    <row r="56" customFormat="false" ht="46.25" hidden="false" customHeight="false" outlineLevel="0" collapsed="false">
      <c r="A56" s="11" t="s">
        <v>409</v>
      </c>
      <c r="B56" s="11" t="s">
        <v>515</v>
      </c>
      <c r="C56" s="12" t="s">
        <v>846</v>
      </c>
      <c r="D56" s="11" t="s">
        <v>520</v>
      </c>
      <c r="E56" s="11" t="str">
        <f aca="false">IF(COUNTIFS(Prüfanforderungen!$P$3:$P$181,$W56)=0,"keine Norm hinterlegt",IF($L56=0,"0 € hinterlegt",""))</f>
        <v/>
      </c>
      <c r="F56" s="12" t="s">
        <v>139</v>
      </c>
      <c r="G56" s="12" t="n">
        <v>2</v>
      </c>
      <c r="H56" s="12"/>
      <c r="I56" s="12" t="s">
        <v>42</v>
      </c>
      <c r="J56" s="12" t="s">
        <v>42</v>
      </c>
      <c r="K56" s="11" t="s">
        <v>50</v>
      </c>
      <c r="L56" s="13" t="n">
        <f aca="false">IF(COUNTIFS(Prüfanforderungen!$P$3:$P$181,$W56,Prüfanforderungen!$D$3:$D$181,"Sicherheit-/Normprüfung",Prüfanforderungen!$K$3:$K$181,"&gt;=0")=0,"Preis auf Anfrage",SUMIFS(Prüfanforderungen!$K$3:$K$181,Prüfanforderungen!$P$3:$P$181,$W56,Prüfanforderungen!$D$3:$D$181,"Sicherheit-/Normprüfung"))</f>
        <v>540</v>
      </c>
      <c r="M56" s="11"/>
      <c r="N56" s="11" t="s">
        <v>815</v>
      </c>
      <c r="O56" s="11"/>
      <c r="P56" s="13" t="str">
        <f aca="false">IF(COUNTIFS(Prüfanforderungen!$P$3:$P$181,$W56,Prüfanforderungen!$D$3:$D$181,"FFU/Fitting",Prüfanforderungen!$K$3:$K$181,"&gt;=0")=0,"Preis auf Anfrage",SUMIFS(Prüfanforderungen!$K$3:$K$181,Prüfanforderungen!$P$3:$P$181,$W56,Prüfanforderungen!$D$3:$D$181,"FFU/Fitting"))</f>
        <v>Preis auf Anfrage</v>
      </c>
      <c r="Q56" s="11"/>
      <c r="R56" s="11"/>
      <c r="S56" s="13" t="str">
        <f aca="false">IF(COUNTIFS(Prüfanforderungen!$P$3:$P$181,$W56,Prüfanforderungen!$D$3:$D$181,"NGO / StiWa",Prüfanforderungen!$K$3:$K$181,"&gt;=0")=0,"Preis auf Anfrage",SUMIFS(Prüfanforderungen!$K$3:$K$181,Prüfanforderungen!$P$3:$P$181,$W56,Prüfanforderungen!$D$3:$D$181,"NGO / StiWa"))</f>
        <v>Preis auf Anfrage</v>
      </c>
      <c r="T56" s="11"/>
      <c r="U56" s="13"/>
      <c r="V56" s="13" t="n">
        <v>480</v>
      </c>
      <c r="W56" s="11" t="s">
        <v>521</v>
      </c>
    </row>
    <row r="57" customFormat="false" ht="46.25" hidden="false" customHeight="false" outlineLevel="0" collapsed="false">
      <c r="A57" s="11" t="s">
        <v>409</v>
      </c>
      <c r="B57" s="11" t="s">
        <v>515</v>
      </c>
      <c r="C57" s="12" t="s">
        <v>846</v>
      </c>
      <c r="D57" s="11" t="s">
        <v>522</v>
      </c>
      <c r="E57" s="11" t="str">
        <f aca="false">IF(COUNTIFS(Prüfanforderungen!$P$3:$P$181,$W57)=0,"keine Norm hinterlegt",IF($L57=0,"0 € hinterlegt",""))</f>
        <v>0 € hinterlegt</v>
      </c>
      <c r="F57" s="12" t="s">
        <v>139</v>
      </c>
      <c r="G57" s="12" t="n">
        <v>2</v>
      </c>
      <c r="H57" s="12"/>
      <c r="I57" s="12" t="s">
        <v>42</v>
      </c>
      <c r="J57" s="12" t="s">
        <v>42</v>
      </c>
      <c r="K57" s="11" t="s">
        <v>50</v>
      </c>
      <c r="L57" s="13" t="n">
        <f aca="false">IF(COUNTIFS(Prüfanforderungen!$P$3:$P$181,$W57,Prüfanforderungen!$D$3:$D$181,"Sicherheit-/Normprüfung",Prüfanforderungen!$K$3:$K$181,"&gt;=0")=0,"Preis auf Anfrage",SUMIFS(Prüfanforderungen!$K$3:$K$181,Prüfanforderungen!$P$3:$P$181,$W57,Prüfanforderungen!$D$3:$D$181,"Sicherheit-/Normprüfung"))</f>
        <v>0</v>
      </c>
      <c r="M57" s="11"/>
      <c r="N57" s="11" t="s">
        <v>815</v>
      </c>
      <c r="O57" s="11"/>
      <c r="P57" s="13" t="str">
        <f aca="false">IF(COUNTIFS(Prüfanforderungen!$P$3:$P$181,$W57,Prüfanforderungen!$D$3:$D$181,"FFU/Fitting",Prüfanforderungen!$K$3:$K$181,"&gt;=0")=0,"Preis auf Anfrage",SUMIFS(Prüfanforderungen!$K$3:$K$181,Prüfanforderungen!$P$3:$P$181,$W57,Prüfanforderungen!$D$3:$D$181,"FFU/Fitting"))</f>
        <v>Preis auf Anfrage</v>
      </c>
      <c r="Q57" s="11"/>
      <c r="R57" s="11"/>
      <c r="S57" s="13" t="str">
        <f aca="false">IF(COUNTIFS(Prüfanforderungen!$P$3:$P$181,$W57,Prüfanforderungen!$D$3:$D$181,"NGO / StiWa",Prüfanforderungen!$K$3:$K$181,"&gt;=0")=0,"Preis auf Anfrage",SUMIFS(Prüfanforderungen!$K$3:$K$181,Prüfanforderungen!$P$3:$P$181,$W57,Prüfanforderungen!$D$3:$D$181,"NGO / StiWa"))</f>
        <v>Preis auf Anfrage</v>
      </c>
      <c r="T57" s="11"/>
      <c r="U57" s="13"/>
      <c r="V57" s="13" t="n">
        <v>480</v>
      </c>
      <c r="W57" s="11" t="s">
        <v>523</v>
      </c>
    </row>
    <row r="58" customFormat="false" ht="124.6" hidden="false" customHeight="false" outlineLevel="0" collapsed="false">
      <c r="A58" s="11" t="s">
        <v>409</v>
      </c>
      <c r="B58" s="11" t="s">
        <v>524</v>
      </c>
      <c r="C58" s="12" t="s">
        <v>847</v>
      </c>
      <c r="D58" s="11" t="s">
        <v>525</v>
      </c>
      <c r="E58" s="11" t="str">
        <f aca="false">IF(COUNTIFS(Prüfanforderungen!$P$3:$P$181,$W58)=0,"keine Norm hinterlegt",IF($L58=0,"0 € hinterlegt",""))</f>
        <v/>
      </c>
      <c r="F58" s="12" t="s">
        <v>42</v>
      </c>
      <c r="G58" s="12"/>
      <c r="H58" s="12"/>
      <c r="I58" s="12" t="s">
        <v>42</v>
      </c>
      <c r="J58" s="12" t="s">
        <v>42</v>
      </c>
      <c r="K58" s="11" t="s">
        <v>191</v>
      </c>
      <c r="L58" s="13" t="n">
        <f aca="false">IF(COUNTIFS(Prüfanforderungen!$P$3:$P$181,$W58,Prüfanforderungen!$D$3:$D$181,"Sicherheit-/Normprüfung",Prüfanforderungen!$K$3:$K$181,"&gt;=0")=0,"Preis auf Anfrage",SUMIFS(Prüfanforderungen!$K$3:$K$181,Prüfanforderungen!$P$3:$P$181,$W58,Prüfanforderungen!$D$3:$D$181,"Sicherheit-/Normprüfung"))</f>
        <v>1080</v>
      </c>
      <c r="M58" s="11"/>
      <c r="N58" s="11" t="s">
        <v>848</v>
      </c>
      <c r="O58" s="11"/>
      <c r="P58" s="13" t="str">
        <f aca="false">IF(COUNTIFS(Prüfanforderungen!$P$3:$P$181,$W58,Prüfanforderungen!$D$3:$D$181,"FFU/Fitting",Prüfanforderungen!$K$3:$K$181,"&gt;=0")=0,"Preis auf Anfrage",SUMIFS(Prüfanforderungen!$K$3:$K$181,Prüfanforderungen!$P$3:$P$181,$W58,Prüfanforderungen!$D$3:$D$181,"FFU/Fitting"))</f>
        <v>Preis auf Anfrage</v>
      </c>
      <c r="Q58" s="11"/>
      <c r="R58" s="11"/>
      <c r="S58" s="13" t="str">
        <f aca="false">IF(COUNTIFS(Prüfanforderungen!$P$3:$P$181,$W58,Prüfanforderungen!$D$3:$D$181,"NGO / StiWa",Prüfanforderungen!$K$3:$K$181,"&gt;=0")=0,"Preis auf Anfrage",SUMIFS(Prüfanforderungen!$K$3:$K$181,Prüfanforderungen!$P$3:$P$181,$W58,Prüfanforderungen!$D$3:$D$181,"NGO / StiWa"))</f>
        <v>Preis auf Anfrage</v>
      </c>
      <c r="T58" s="11"/>
      <c r="U58" s="13"/>
      <c r="V58" s="13" t="n">
        <v>960</v>
      </c>
      <c r="W58" s="11" t="s">
        <v>526</v>
      </c>
    </row>
    <row r="59" customFormat="false" ht="46.25" hidden="false" customHeight="false" outlineLevel="0" collapsed="false">
      <c r="A59" s="11" t="s">
        <v>409</v>
      </c>
      <c r="B59" s="11" t="s">
        <v>524</v>
      </c>
      <c r="C59" s="12" t="s">
        <v>847</v>
      </c>
      <c r="D59" s="11" t="s">
        <v>527</v>
      </c>
      <c r="E59" s="11" t="str">
        <f aca="false">IF(COUNTIFS(Prüfanforderungen!$P$3:$P$181,$W59)=0,"keine Norm hinterlegt",IF($L59=0,"0 € hinterlegt",""))</f>
        <v/>
      </c>
      <c r="F59" s="12" t="s">
        <v>139</v>
      </c>
      <c r="G59" s="12"/>
      <c r="H59" s="12"/>
      <c r="I59" s="12" t="s">
        <v>42</v>
      </c>
      <c r="J59" s="12" t="s">
        <v>42</v>
      </c>
      <c r="K59" s="11" t="s">
        <v>50</v>
      </c>
      <c r="L59" s="13" t="n">
        <f aca="false">IF(COUNTIFS(Prüfanforderungen!$P$3:$P$181,$W59,Prüfanforderungen!$D$3:$D$181,"Sicherheit-/Normprüfung",Prüfanforderungen!$K$3:$K$181,"&gt;=0")=0,"Preis auf Anfrage",SUMIFS(Prüfanforderungen!$K$3:$K$181,Prüfanforderungen!$P$3:$P$181,$W59,Prüfanforderungen!$D$3:$D$181,"Sicherheit-/Normprüfung"))</f>
        <v>540</v>
      </c>
      <c r="M59" s="11"/>
      <c r="N59" s="11" t="s">
        <v>815</v>
      </c>
      <c r="O59" s="11"/>
      <c r="P59" s="13" t="str">
        <f aca="false">IF(COUNTIFS(Prüfanforderungen!$P$3:$P$181,$W59,Prüfanforderungen!$D$3:$D$181,"FFU/Fitting",Prüfanforderungen!$K$3:$K$181,"&gt;=0")=0,"Preis auf Anfrage",SUMIFS(Prüfanforderungen!$K$3:$K$181,Prüfanforderungen!$P$3:$P$181,$W59,Prüfanforderungen!$D$3:$D$181,"FFU/Fitting"))</f>
        <v>Preis auf Anfrage</v>
      </c>
      <c r="Q59" s="11"/>
      <c r="R59" s="11"/>
      <c r="S59" s="13" t="str">
        <f aca="false">IF(COUNTIFS(Prüfanforderungen!$P$3:$P$181,$W59,Prüfanforderungen!$D$3:$D$181,"NGO / StiWa",Prüfanforderungen!$K$3:$K$181,"&gt;=0")=0,"Preis auf Anfrage",SUMIFS(Prüfanforderungen!$K$3:$K$181,Prüfanforderungen!$P$3:$P$181,$W59,Prüfanforderungen!$D$3:$D$181,"NGO / StiWa"))</f>
        <v>Preis auf Anfrage</v>
      </c>
      <c r="T59" s="11"/>
      <c r="U59" s="13"/>
      <c r="V59" s="13" t="n">
        <v>360</v>
      </c>
      <c r="W59" s="11" t="s">
        <v>528</v>
      </c>
    </row>
    <row r="60" customFormat="false" ht="46.25" hidden="false" customHeight="false" outlineLevel="0" collapsed="false">
      <c r="A60" s="11" t="s">
        <v>409</v>
      </c>
      <c r="B60" s="11" t="s">
        <v>529</v>
      </c>
      <c r="C60" s="12" t="s">
        <v>849</v>
      </c>
      <c r="D60" s="11" t="s">
        <v>530</v>
      </c>
      <c r="E60" s="11" t="str">
        <f aca="false">IF(COUNTIFS(Prüfanforderungen!$P$3:$P$181,$W60)=0,"keine Norm hinterlegt",IF($L60=0,"0 € hinterlegt",""))</f>
        <v>0 € hinterlegt</v>
      </c>
      <c r="F60" s="12" t="s">
        <v>139</v>
      </c>
      <c r="G60" s="12" t="n">
        <v>2</v>
      </c>
      <c r="H60" s="12"/>
      <c r="I60" s="12" t="s">
        <v>42</v>
      </c>
      <c r="J60" s="12" t="s">
        <v>42</v>
      </c>
      <c r="K60" s="11" t="s">
        <v>50</v>
      </c>
      <c r="L60" s="13" t="n">
        <f aca="false">IF(COUNTIFS(Prüfanforderungen!$P$3:$P$181,$W60,Prüfanforderungen!$D$3:$D$181,"Sicherheit-/Normprüfung",Prüfanforderungen!$K$3:$K$181,"&gt;=0")=0,"Preis auf Anfrage",SUMIFS(Prüfanforderungen!$K$3:$K$181,Prüfanforderungen!$P$3:$P$181,$W60,Prüfanforderungen!$D$3:$D$181,"Sicherheit-/Normprüfung"))</f>
        <v>0</v>
      </c>
      <c r="M60" s="11"/>
      <c r="N60" s="11" t="s">
        <v>815</v>
      </c>
      <c r="O60" s="11"/>
      <c r="P60" s="13" t="str">
        <f aca="false">IF(COUNTIFS(Prüfanforderungen!$P$3:$P$181,$W60,Prüfanforderungen!$D$3:$D$181,"FFU/Fitting",Prüfanforderungen!$K$3:$K$181,"&gt;=0")=0,"Preis auf Anfrage",SUMIFS(Prüfanforderungen!$K$3:$K$181,Prüfanforderungen!$P$3:$P$181,$W60,Prüfanforderungen!$D$3:$D$181,"FFU/Fitting"))</f>
        <v>Preis auf Anfrage</v>
      </c>
      <c r="Q60" s="11"/>
      <c r="R60" s="11"/>
      <c r="S60" s="13" t="str">
        <f aca="false">IF(COUNTIFS(Prüfanforderungen!$P$3:$P$181,$W60,Prüfanforderungen!$D$3:$D$181,"NGO / StiWa",Prüfanforderungen!$K$3:$K$181,"&gt;=0")=0,"Preis auf Anfrage",SUMIFS(Prüfanforderungen!$K$3:$K$181,Prüfanforderungen!$P$3:$P$181,$W60,Prüfanforderungen!$D$3:$D$181,"NGO / StiWa"))</f>
        <v>Preis auf Anfrage</v>
      </c>
      <c r="T60" s="11"/>
      <c r="U60" s="13"/>
      <c r="V60" s="13" t="n">
        <v>480</v>
      </c>
      <c r="W60" s="11" t="s">
        <v>531</v>
      </c>
    </row>
    <row r="61" customFormat="false" ht="46.25" hidden="false" customHeight="false" outlineLevel="0" collapsed="false">
      <c r="A61" s="11" t="s">
        <v>409</v>
      </c>
      <c r="B61" s="11" t="s">
        <v>532</v>
      </c>
      <c r="C61" s="12" t="s">
        <v>850</v>
      </c>
      <c r="D61" s="11" t="s">
        <v>533</v>
      </c>
      <c r="E61" s="11" t="str">
        <f aca="false">IF(COUNTIFS(Prüfanforderungen!$P$3:$P$181,$W61)=0,"keine Norm hinterlegt",IF($L61=0,"0 € hinterlegt",""))</f>
        <v>0 € hinterlegt</v>
      </c>
      <c r="F61" s="12" t="s">
        <v>42</v>
      </c>
      <c r="G61" s="12" t="n">
        <v>2</v>
      </c>
      <c r="H61" s="12"/>
      <c r="I61" s="12" t="s">
        <v>42</v>
      </c>
      <c r="J61" s="12" t="s">
        <v>42</v>
      </c>
      <c r="K61" s="11" t="s">
        <v>94</v>
      </c>
      <c r="L61" s="13" t="n">
        <f aca="false">IF(COUNTIFS(Prüfanforderungen!$P$3:$P$181,$W61,Prüfanforderungen!$D$3:$D$181,"Sicherheit-/Normprüfung",Prüfanforderungen!$K$3:$K$181,"&gt;=0")=0,"Preis auf Anfrage",SUMIFS(Prüfanforderungen!$K$3:$K$181,Prüfanforderungen!$P$3:$P$181,$W61,Prüfanforderungen!$D$3:$D$181,"Sicherheit-/Normprüfung"))</f>
        <v>0</v>
      </c>
      <c r="M61" s="11"/>
      <c r="N61" s="11"/>
      <c r="O61" s="11"/>
      <c r="P61" s="13" t="str">
        <f aca="false">IF(COUNTIFS(Prüfanforderungen!$P$3:$P$181,$W61,Prüfanforderungen!$D$3:$D$181,"FFU/Fitting",Prüfanforderungen!$K$3:$K$181,"&gt;=0")=0,"Preis auf Anfrage",SUMIFS(Prüfanforderungen!$K$3:$K$181,Prüfanforderungen!$P$3:$P$181,$W61,Prüfanforderungen!$D$3:$D$181,"FFU/Fitting"))</f>
        <v>Preis auf Anfrage</v>
      </c>
      <c r="Q61" s="11"/>
      <c r="R61" s="11"/>
      <c r="S61" s="13" t="str">
        <f aca="false">IF(COUNTIFS(Prüfanforderungen!$P$3:$P$181,$W61,Prüfanforderungen!$D$3:$D$181,"NGO / StiWa",Prüfanforderungen!$K$3:$K$181,"&gt;=0")=0,"Preis auf Anfrage",SUMIFS(Prüfanforderungen!$K$3:$K$181,Prüfanforderungen!$P$3:$P$181,$W61,Prüfanforderungen!$D$3:$D$181,"NGO / StiWa"))</f>
        <v>Preis auf Anfrage</v>
      </c>
      <c r="T61" s="11"/>
      <c r="U61" s="13" t="n">
        <v>600</v>
      </c>
      <c r="V61" s="13" t="n">
        <v>1200</v>
      </c>
      <c r="W61" s="11" t="s">
        <v>534</v>
      </c>
    </row>
    <row r="62" customFormat="false" ht="46.25" hidden="false" customHeight="false" outlineLevel="0" collapsed="false">
      <c r="A62" s="11" t="s">
        <v>409</v>
      </c>
      <c r="B62" s="11" t="s">
        <v>532</v>
      </c>
      <c r="C62" s="12" t="s">
        <v>850</v>
      </c>
      <c r="D62" s="11" t="s">
        <v>535</v>
      </c>
      <c r="E62" s="11" t="str">
        <f aca="false">IF(COUNTIFS(Prüfanforderungen!$P$3:$P$181,$W62)=0,"keine Norm hinterlegt",IF($L62=0,"0 € hinterlegt",""))</f>
        <v>0 € hinterlegt</v>
      </c>
      <c r="F62" s="12" t="s">
        <v>42</v>
      </c>
      <c r="G62" s="12" t="n">
        <v>3</v>
      </c>
      <c r="H62" s="12"/>
      <c r="I62" s="12" t="s">
        <v>42</v>
      </c>
      <c r="J62" s="12" t="s">
        <v>42</v>
      </c>
      <c r="K62" s="11" t="s">
        <v>169</v>
      </c>
      <c r="L62" s="13" t="n">
        <f aca="false">IF(COUNTIFS(Prüfanforderungen!$P$3:$P$181,$W62,Prüfanforderungen!$D$3:$D$181,"Sicherheit-/Normprüfung",Prüfanforderungen!$K$3:$K$181,"&gt;=0")=0,"Preis auf Anfrage",SUMIFS(Prüfanforderungen!$K$3:$K$181,Prüfanforderungen!$P$3:$P$181,$W62,Prüfanforderungen!$D$3:$D$181,"Sicherheit-/Normprüfung"))</f>
        <v>0</v>
      </c>
      <c r="M62" s="11"/>
      <c r="N62" s="11"/>
      <c r="O62" s="11"/>
      <c r="P62" s="13" t="str">
        <f aca="false">IF(COUNTIFS(Prüfanforderungen!$P$3:$P$181,$W62,Prüfanforderungen!$D$3:$D$181,"FFU/Fitting",Prüfanforderungen!$K$3:$K$181,"&gt;=0")=0,"Preis auf Anfrage",SUMIFS(Prüfanforderungen!$K$3:$K$181,Prüfanforderungen!$P$3:$P$181,$W62,Prüfanforderungen!$D$3:$D$181,"FFU/Fitting"))</f>
        <v>Preis auf Anfrage</v>
      </c>
      <c r="Q62" s="11"/>
      <c r="R62" s="11"/>
      <c r="S62" s="13" t="str">
        <f aca="false">IF(COUNTIFS(Prüfanforderungen!$P$3:$P$181,$W62,Prüfanforderungen!$D$3:$D$181,"NGO / StiWa",Prüfanforderungen!$K$3:$K$181,"&gt;=0")=0,"Preis auf Anfrage",SUMIFS(Prüfanforderungen!$K$3:$K$181,Prüfanforderungen!$P$3:$P$181,$W62,Prüfanforderungen!$D$3:$D$181,"NGO / StiWa"))</f>
        <v>Preis auf Anfrage</v>
      </c>
      <c r="T62" s="11"/>
      <c r="U62" s="13"/>
      <c r="V62" s="13" t="n">
        <v>960</v>
      </c>
      <c r="W62" s="11" t="s">
        <v>536</v>
      </c>
    </row>
    <row r="63" customFormat="false" ht="35.05" hidden="false" customHeight="false" outlineLevel="0" collapsed="false">
      <c r="A63" s="11" t="s">
        <v>409</v>
      </c>
      <c r="B63" s="11" t="s">
        <v>532</v>
      </c>
      <c r="C63" s="12" t="s">
        <v>850</v>
      </c>
      <c r="D63" s="11" t="s">
        <v>537</v>
      </c>
      <c r="E63" s="11" t="str">
        <f aca="false">IF(COUNTIFS(Prüfanforderungen!$P$3:$P$181,$W63)=0,"keine Norm hinterlegt",IF($L63=0,"0 € hinterlegt",""))</f>
        <v>0 € hinterlegt</v>
      </c>
      <c r="F63" s="12" t="s">
        <v>42</v>
      </c>
      <c r="G63" s="12" t="n">
        <v>2</v>
      </c>
      <c r="H63" s="12"/>
      <c r="I63" s="12" t="s">
        <v>42</v>
      </c>
      <c r="J63" s="12" t="s">
        <v>42</v>
      </c>
      <c r="K63" s="11" t="s">
        <v>278</v>
      </c>
      <c r="L63" s="13" t="n">
        <f aca="false">IF(COUNTIFS(Prüfanforderungen!$P$3:$P$181,$W63,Prüfanforderungen!$D$3:$D$181,"Sicherheit-/Normprüfung",Prüfanforderungen!$K$3:$K$181,"&gt;=0")=0,"Preis auf Anfrage",SUMIFS(Prüfanforderungen!$K$3:$K$181,Prüfanforderungen!$P$3:$P$181,$W63,Prüfanforderungen!$D$3:$D$181,"Sicherheit-/Normprüfung"))</f>
        <v>0</v>
      </c>
      <c r="M63" s="11"/>
      <c r="N63" s="11"/>
      <c r="O63" s="11"/>
      <c r="P63" s="13" t="str">
        <f aca="false">IF(COUNTIFS(Prüfanforderungen!$P$3:$P$181,$W63,Prüfanforderungen!$D$3:$D$181,"FFU/Fitting",Prüfanforderungen!$K$3:$K$181,"&gt;=0")=0,"Preis auf Anfrage",SUMIFS(Prüfanforderungen!$K$3:$K$181,Prüfanforderungen!$P$3:$P$181,$W63,Prüfanforderungen!$D$3:$D$181,"FFU/Fitting"))</f>
        <v>Preis auf Anfrage</v>
      </c>
      <c r="Q63" s="11"/>
      <c r="R63" s="11"/>
      <c r="S63" s="13" t="str">
        <f aca="false">IF(COUNTIFS(Prüfanforderungen!$P$3:$P$181,$W63,Prüfanforderungen!$D$3:$D$181,"NGO / StiWa",Prüfanforderungen!$K$3:$K$181,"&gt;=0")=0,"Preis auf Anfrage",SUMIFS(Prüfanforderungen!$K$3:$K$181,Prüfanforderungen!$P$3:$P$181,$W63,Prüfanforderungen!$D$3:$D$181,"NGO / StiWa"))</f>
        <v>Preis auf Anfrage</v>
      </c>
      <c r="T63" s="11"/>
      <c r="U63" s="13" t="n">
        <v>480</v>
      </c>
      <c r="V63" s="13" t="n">
        <v>960</v>
      </c>
      <c r="W63" s="11" t="s">
        <v>538</v>
      </c>
    </row>
    <row r="64" customFormat="false" ht="46.25" hidden="false" customHeight="false" outlineLevel="0" collapsed="false">
      <c r="A64" s="11" t="s">
        <v>409</v>
      </c>
      <c r="B64" s="11" t="s">
        <v>532</v>
      </c>
      <c r="C64" s="12" t="s">
        <v>850</v>
      </c>
      <c r="D64" s="11" t="s">
        <v>539</v>
      </c>
      <c r="E64" s="11" t="str">
        <f aca="false">IF(COUNTIFS(Prüfanforderungen!$P$3:$P$181,$W64)=0,"keine Norm hinterlegt",IF($L64=0,"0 € hinterlegt",""))</f>
        <v>0 € hinterlegt</v>
      </c>
      <c r="F64" s="12" t="s">
        <v>42</v>
      </c>
      <c r="G64" s="12" t="n">
        <v>2</v>
      </c>
      <c r="H64" s="12"/>
      <c r="I64" s="12" t="s">
        <v>42</v>
      </c>
      <c r="J64" s="12" t="s">
        <v>42</v>
      </c>
      <c r="K64" s="11" t="s">
        <v>220</v>
      </c>
      <c r="L64" s="13" t="n">
        <f aca="false">IF(COUNTIFS(Prüfanforderungen!$P$3:$P$181,$W64,Prüfanforderungen!$D$3:$D$181,"Sicherheit-/Normprüfung",Prüfanforderungen!$K$3:$K$181,"&gt;=0")=0,"Preis auf Anfrage",SUMIFS(Prüfanforderungen!$K$3:$K$181,Prüfanforderungen!$P$3:$P$181,$W64,Prüfanforderungen!$D$3:$D$181,"Sicherheit-/Normprüfung"))</f>
        <v>0</v>
      </c>
      <c r="M64" s="11"/>
      <c r="N64" s="11"/>
      <c r="O64" s="11" t="s">
        <v>82</v>
      </c>
      <c r="P64" s="13" t="n">
        <f aca="false">IF(COUNTIFS(Prüfanforderungen!$P$3:$P$181,$W64,Prüfanforderungen!$D$3:$D$181,"FFU/Fitting",Prüfanforderungen!$K$3:$K$181,"&gt;=0")=0,"Preis auf Anfrage",SUMIFS(Prüfanforderungen!$K$3:$K$181,Prüfanforderungen!$P$3:$P$181,$W64,Prüfanforderungen!$D$3:$D$181,"FFU/Fitting"))</f>
        <v>960</v>
      </c>
      <c r="Q64" s="11"/>
      <c r="R64" s="11"/>
      <c r="S64" s="13" t="str">
        <f aca="false">IF(COUNTIFS(Prüfanforderungen!$P$3:$P$181,$W64,Prüfanforderungen!$D$3:$D$181,"NGO / StiWa",Prüfanforderungen!$K$3:$K$181,"&gt;=0")=0,"Preis auf Anfrage",SUMIFS(Prüfanforderungen!$K$3:$K$181,Prüfanforderungen!$P$3:$P$181,$W64,Prüfanforderungen!$D$3:$D$181,"NGO / StiWa"))</f>
        <v>Preis auf Anfrage</v>
      </c>
      <c r="T64" s="11"/>
      <c r="U64" s="13" t="n">
        <v>480</v>
      </c>
      <c r="V64" s="13" t="n">
        <v>960</v>
      </c>
      <c r="W64" s="11" t="s">
        <v>540</v>
      </c>
    </row>
    <row r="65" customFormat="false" ht="46.25" hidden="false" customHeight="false" outlineLevel="0" collapsed="false">
      <c r="A65" s="11" t="s">
        <v>409</v>
      </c>
      <c r="B65" s="11" t="s">
        <v>541</v>
      </c>
      <c r="C65" s="12" t="s">
        <v>851</v>
      </c>
      <c r="D65" s="11" t="s">
        <v>852</v>
      </c>
      <c r="E65" s="11" t="str">
        <f aca="false">IF(COUNTIFS(Prüfanforderungen!$P$3:$P$181,$W65)=0,"keine Norm hinterlegt",IF($L65=0,"0 € hinterlegt",""))</f>
        <v>keine Norm hinterlegt</v>
      </c>
      <c r="F65" s="12" t="s">
        <v>42</v>
      </c>
      <c r="G65" s="12"/>
      <c r="H65" s="12"/>
      <c r="I65" s="12" t="s">
        <v>42</v>
      </c>
      <c r="J65" s="12" t="s">
        <v>42</v>
      </c>
      <c r="K65" s="11"/>
      <c r="L65" s="13" t="str">
        <f aca="false">IF(COUNTIFS(Prüfanforderungen!$P$3:$P$181,$W65,Prüfanforderungen!$D$3:$D$181,"Sicherheit-/Normprüfung",Prüfanforderungen!$K$3:$K$181,"&gt;=0")=0,"Preis auf Anfrage",SUMIFS(Prüfanforderungen!$K$3:$K$181,Prüfanforderungen!$P$3:$P$181,$W65,Prüfanforderungen!$D$3:$D$181,"Sicherheit-/Normprüfung"))</f>
        <v>Preis auf Anfrage</v>
      </c>
      <c r="M65" s="11"/>
      <c r="N65" s="11"/>
      <c r="O65" s="11"/>
      <c r="P65" s="13" t="str">
        <f aca="false">IF(COUNTIFS(Prüfanforderungen!$P$3:$P$181,$W65,Prüfanforderungen!$D$3:$D$181,"FFU/Fitting",Prüfanforderungen!$K$3:$K$181,"&gt;=0")=0,"Preis auf Anfrage",SUMIFS(Prüfanforderungen!$K$3:$K$181,Prüfanforderungen!$P$3:$P$181,$W65,Prüfanforderungen!$D$3:$D$181,"FFU/Fitting"))</f>
        <v>Preis auf Anfrage</v>
      </c>
      <c r="Q65" s="11"/>
      <c r="R65" s="11"/>
      <c r="S65" s="13" t="str">
        <f aca="false">IF(COUNTIFS(Prüfanforderungen!$P$3:$P$181,$W65,Prüfanforderungen!$D$3:$D$181,"NGO / StiWa",Prüfanforderungen!$K$3:$K$181,"&gt;=0")=0,"Preis auf Anfrage",SUMIFS(Prüfanforderungen!$K$3:$K$181,Prüfanforderungen!$P$3:$P$181,$W65,Prüfanforderungen!$D$3:$D$181,"NGO / StiWa"))</f>
        <v>Preis auf Anfrage</v>
      </c>
      <c r="T65" s="11"/>
      <c r="U65" s="13"/>
      <c r="V65" s="13"/>
      <c r="W65" s="11" t="s">
        <v>853</v>
      </c>
    </row>
    <row r="66" customFormat="false" ht="46.25" hidden="false" customHeight="false" outlineLevel="0" collapsed="false">
      <c r="A66" s="11" t="s">
        <v>409</v>
      </c>
      <c r="B66" s="11" t="s">
        <v>541</v>
      </c>
      <c r="C66" s="12" t="s">
        <v>851</v>
      </c>
      <c r="D66" s="11" t="s">
        <v>542</v>
      </c>
      <c r="E66" s="11" t="str">
        <f aca="false">IF(COUNTIFS(Prüfanforderungen!$P$3:$P$181,$W66)=0,"keine Norm hinterlegt",IF($L66=0,"0 € hinterlegt",""))</f>
        <v/>
      </c>
      <c r="F66" s="12" t="s">
        <v>42</v>
      </c>
      <c r="G66" s="12"/>
      <c r="H66" s="12"/>
      <c r="I66" s="12" t="s">
        <v>42</v>
      </c>
      <c r="J66" s="12" t="s">
        <v>42</v>
      </c>
      <c r="K66" s="11" t="s">
        <v>165</v>
      </c>
      <c r="L66" s="13" t="n">
        <f aca="false">IF(COUNTIFS(Prüfanforderungen!$P$3:$P$181,$W66,Prüfanforderungen!$D$3:$D$181,"Sicherheit-/Normprüfung",Prüfanforderungen!$K$3:$K$181,"&gt;=0")=0,"Preis auf Anfrage",SUMIFS(Prüfanforderungen!$K$3:$K$181,Prüfanforderungen!$P$3:$P$181,$W66,Prüfanforderungen!$D$3:$D$181,"Sicherheit-/Normprüfung"))</f>
        <v>900</v>
      </c>
      <c r="M66" s="11"/>
      <c r="N66" s="11"/>
      <c r="O66" s="11"/>
      <c r="P66" s="13" t="str">
        <f aca="false">IF(COUNTIFS(Prüfanforderungen!$P$3:$P$181,$W66,Prüfanforderungen!$D$3:$D$181,"FFU/Fitting",Prüfanforderungen!$K$3:$K$181,"&gt;=0")=0,"Preis auf Anfrage",SUMIFS(Prüfanforderungen!$K$3:$K$181,Prüfanforderungen!$P$3:$P$181,$W66,Prüfanforderungen!$D$3:$D$181,"FFU/Fitting"))</f>
        <v>Preis auf Anfrage</v>
      </c>
      <c r="Q66" s="11"/>
      <c r="R66" s="11"/>
      <c r="S66" s="13" t="str">
        <f aca="false">IF(COUNTIFS(Prüfanforderungen!$P$3:$P$181,$W66,Prüfanforderungen!$D$3:$D$181,"NGO / StiWa",Prüfanforderungen!$K$3:$K$181,"&gt;=0")=0,"Preis auf Anfrage",SUMIFS(Prüfanforderungen!$K$3:$K$181,Prüfanforderungen!$P$3:$P$181,$W66,Prüfanforderungen!$D$3:$D$181,"NGO / StiWa"))</f>
        <v>Preis auf Anfrage</v>
      </c>
      <c r="T66" s="11"/>
      <c r="U66" s="13"/>
      <c r="V66" s="13"/>
      <c r="W66" s="11" t="s">
        <v>543</v>
      </c>
    </row>
    <row r="67" customFormat="false" ht="68.65" hidden="false" customHeight="false" outlineLevel="0" collapsed="false">
      <c r="A67" s="11" t="s">
        <v>409</v>
      </c>
      <c r="B67" s="11" t="s">
        <v>541</v>
      </c>
      <c r="C67" s="12" t="s">
        <v>851</v>
      </c>
      <c r="D67" s="11" t="s">
        <v>544</v>
      </c>
      <c r="E67" s="11" t="str">
        <f aca="false">IF(COUNTIFS(Prüfanforderungen!$P$3:$P$181,$W67)=0,"keine Norm hinterlegt",IF($L67=0,"0 € hinterlegt",""))</f>
        <v/>
      </c>
      <c r="F67" s="12" t="s">
        <v>42</v>
      </c>
      <c r="G67" s="12"/>
      <c r="H67" s="12"/>
      <c r="I67" s="12" t="s">
        <v>42</v>
      </c>
      <c r="J67" s="12" t="s">
        <v>42</v>
      </c>
      <c r="K67" s="11" t="s">
        <v>182</v>
      </c>
      <c r="L67" s="13" t="n">
        <f aca="false">IF(COUNTIFS(Prüfanforderungen!$P$3:$P$181,$W67,Prüfanforderungen!$D$3:$D$181,"Sicherheit-/Normprüfung",Prüfanforderungen!$K$3:$K$181,"&gt;=0")=0,"Preis auf Anfrage",SUMIFS(Prüfanforderungen!$K$3:$K$181,Prüfanforderungen!$P$3:$P$181,$W67,Prüfanforderungen!$D$3:$D$181,"Sicherheit-/Normprüfung"))</f>
        <v>1450</v>
      </c>
      <c r="M67" s="11"/>
      <c r="N67" s="11" t="s">
        <v>821</v>
      </c>
      <c r="O67" s="11"/>
      <c r="P67" s="13" t="str">
        <f aca="false">IF(COUNTIFS(Prüfanforderungen!$P$3:$P$181,$W67,Prüfanforderungen!$D$3:$D$181,"FFU/Fitting",Prüfanforderungen!$K$3:$K$181,"&gt;=0")=0,"Preis auf Anfrage",SUMIFS(Prüfanforderungen!$K$3:$K$181,Prüfanforderungen!$P$3:$P$181,$W67,Prüfanforderungen!$D$3:$D$181,"FFU/Fitting"))</f>
        <v>Preis auf Anfrage</v>
      </c>
      <c r="Q67" s="11"/>
      <c r="R67" s="11"/>
      <c r="S67" s="13" t="str">
        <f aca="false">IF(COUNTIFS(Prüfanforderungen!$P$3:$P$181,$W67,Prüfanforderungen!$D$3:$D$181,"NGO / StiWa",Prüfanforderungen!$K$3:$K$181,"&gt;=0")=0,"Preis auf Anfrage",SUMIFS(Prüfanforderungen!$K$3:$K$181,Prüfanforderungen!$P$3:$P$181,$W67,Prüfanforderungen!$D$3:$D$181,"NGO / StiWa"))</f>
        <v>Preis auf Anfrage</v>
      </c>
      <c r="T67" s="11"/>
      <c r="U67" s="13"/>
      <c r="V67" s="13"/>
      <c r="W67" s="11" t="s">
        <v>545</v>
      </c>
    </row>
    <row r="68" customFormat="false" ht="46.25" hidden="false" customHeight="false" outlineLevel="0" collapsed="false">
      <c r="A68" s="11" t="s">
        <v>409</v>
      </c>
      <c r="B68" s="11" t="s">
        <v>546</v>
      </c>
      <c r="C68" s="12" t="s">
        <v>854</v>
      </c>
      <c r="D68" s="11" t="s">
        <v>547</v>
      </c>
      <c r="E68" s="11" t="str">
        <f aca="false">IF(COUNTIFS(Prüfanforderungen!$P$3:$P$181,$W68)=0,"keine Norm hinterlegt",IF($L68=0,"0 € hinterlegt",""))</f>
        <v>0 € hinterlegt</v>
      </c>
      <c r="F68" s="12" t="s">
        <v>139</v>
      </c>
      <c r="G68" s="12" t="n">
        <v>2</v>
      </c>
      <c r="H68" s="12"/>
      <c r="I68" s="12" t="s">
        <v>42</v>
      </c>
      <c r="J68" s="12" t="s">
        <v>42</v>
      </c>
      <c r="K68" s="11" t="s">
        <v>50</v>
      </c>
      <c r="L68" s="13" t="n">
        <f aca="false">IF(COUNTIFS(Prüfanforderungen!$P$3:$P$181,$W68,Prüfanforderungen!$D$3:$D$181,"Sicherheit-/Normprüfung",Prüfanforderungen!$K$3:$K$181,"&gt;=0")=0,"Preis auf Anfrage",SUMIFS(Prüfanforderungen!$K$3:$K$181,Prüfanforderungen!$P$3:$P$181,$W68,Prüfanforderungen!$D$3:$D$181,"Sicherheit-/Normprüfung"))</f>
        <v>0</v>
      </c>
      <c r="M68" s="11"/>
      <c r="N68" s="11" t="s">
        <v>815</v>
      </c>
      <c r="O68" s="11"/>
      <c r="P68" s="13" t="str">
        <f aca="false">IF(COUNTIFS(Prüfanforderungen!$P$3:$P$181,$W68,Prüfanforderungen!$D$3:$D$181,"FFU/Fitting",Prüfanforderungen!$K$3:$K$181,"&gt;=0")=0,"Preis auf Anfrage",SUMIFS(Prüfanforderungen!$K$3:$K$181,Prüfanforderungen!$P$3:$P$181,$W68,Prüfanforderungen!$D$3:$D$181,"FFU/Fitting"))</f>
        <v>Preis auf Anfrage</v>
      </c>
      <c r="Q68" s="11"/>
      <c r="R68" s="11"/>
      <c r="S68" s="13" t="str">
        <f aca="false">IF(COUNTIFS(Prüfanforderungen!$P$3:$P$181,$W68,Prüfanforderungen!$D$3:$D$181,"NGO / StiWa",Prüfanforderungen!$K$3:$K$181,"&gt;=0")=0,"Preis auf Anfrage",SUMIFS(Prüfanforderungen!$K$3:$K$181,Prüfanforderungen!$P$3:$P$181,$W68,Prüfanforderungen!$D$3:$D$181,"NGO / StiWa"))</f>
        <v>Preis auf Anfrage</v>
      </c>
      <c r="T68" s="11"/>
      <c r="U68" s="13"/>
      <c r="V68" s="13" t="n">
        <v>360</v>
      </c>
      <c r="W68" s="11" t="s">
        <v>548</v>
      </c>
    </row>
    <row r="69" customFormat="false" ht="46.25" hidden="false" customHeight="false" outlineLevel="0" collapsed="false">
      <c r="A69" s="11" t="s">
        <v>409</v>
      </c>
      <c r="B69" s="11" t="s">
        <v>546</v>
      </c>
      <c r="C69" s="12" t="s">
        <v>854</v>
      </c>
      <c r="D69" s="11" t="s">
        <v>549</v>
      </c>
      <c r="E69" s="11" t="str">
        <f aca="false">IF(COUNTIFS(Prüfanforderungen!$P$3:$P$181,$W69)=0,"keine Norm hinterlegt",IF($L69=0,"0 € hinterlegt",""))</f>
        <v>0 € hinterlegt</v>
      </c>
      <c r="F69" s="12" t="s">
        <v>139</v>
      </c>
      <c r="G69" s="12" t="n">
        <v>2</v>
      </c>
      <c r="H69" s="12"/>
      <c r="I69" s="12" t="s">
        <v>42</v>
      </c>
      <c r="J69" s="12" t="s">
        <v>42</v>
      </c>
      <c r="K69" s="11" t="s">
        <v>50</v>
      </c>
      <c r="L69" s="13" t="n">
        <f aca="false">IF(COUNTIFS(Prüfanforderungen!$P$3:$P$181,$W69,Prüfanforderungen!$D$3:$D$181,"Sicherheit-/Normprüfung",Prüfanforderungen!$K$3:$K$181,"&gt;=0")=0,"Preis auf Anfrage",SUMIFS(Prüfanforderungen!$K$3:$K$181,Prüfanforderungen!$P$3:$P$181,$W69,Prüfanforderungen!$D$3:$D$181,"Sicherheit-/Normprüfung"))</f>
        <v>0</v>
      </c>
      <c r="M69" s="11"/>
      <c r="N69" s="11" t="s">
        <v>815</v>
      </c>
      <c r="O69" s="11"/>
      <c r="P69" s="13" t="str">
        <f aca="false">IF(COUNTIFS(Prüfanforderungen!$P$3:$P$181,$W69,Prüfanforderungen!$D$3:$D$181,"FFU/Fitting",Prüfanforderungen!$K$3:$K$181,"&gt;=0")=0,"Preis auf Anfrage",SUMIFS(Prüfanforderungen!$K$3:$K$181,Prüfanforderungen!$P$3:$P$181,$W69,Prüfanforderungen!$D$3:$D$181,"FFU/Fitting"))</f>
        <v>Preis auf Anfrage</v>
      </c>
      <c r="Q69" s="11"/>
      <c r="R69" s="11"/>
      <c r="S69" s="13" t="str">
        <f aca="false">IF(COUNTIFS(Prüfanforderungen!$P$3:$P$181,$W69,Prüfanforderungen!$D$3:$D$181,"NGO / StiWa",Prüfanforderungen!$K$3:$K$181,"&gt;=0")=0,"Preis auf Anfrage",SUMIFS(Prüfanforderungen!$K$3:$K$181,Prüfanforderungen!$P$3:$P$181,$W69,Prüfanforderungen!$D$3:$D$181,"NGO / StiWa"))</f>
        <v>Preis auf Anfrage</v>
      </c>
      <c r="T69" s="11"/>
      <c r="U69" s="13"/>
      <c r="V69" s="13" t="n">
        <v>360</v>
      </c>
      <c r="W69" s="11" t="s">
        <v>550</v>
      </c>
    </row>
    <row r="70" customFormat="false" ht="46.25" hidden="false" customHeight="false" outlineLevel="0" collapsed="false">
      <c r="A70" s="11" t="s">
        <v>409</v>
      </c>
      <c r="B70" s="11" t="s">
        <v>551</v>
      </c>
      <c r="C70" s="12" t="s">
        <v>855</v>
      </c>
      <c r="D70" s="11" t="s">
        <v>856</v>
      </c>
      <c r="E70" s="11" t="str">
        <f aca="false">IF(COUNTIFS(Prüfanforderungen!$P$3:$P$181,$W70)=0,"keine Norm hinterlegt",IF($L70=0,"0 € hinterlegt",""))</f>
        <v>keine Norm hinterlegt</v>
      </c>
      <c r="F70" s="12" t="s">
        <v>42</v>
      </c>
      <c r="G70" s="12"/>
      <c r="H70" s="12"/>
      <c r="I70" s="12" t="s">
        <v>42</v>
      </c>
      <c r="J70" s="12" t="s">
        <v>42</v>
      </c>
      <c r="K70" s="11"/>
      <c r="L70" s="13" t="str">
        <f aca="false">IF(COUNTIFS(Prüfanforderungen!$P$3:$P$181,$W70,Prüfanforderungen!$D$3:$D$181,"Sicherheit-/Normprüfung",Prüfanforderungen!$K$3:$K$181,"&gt;=0")=0,"Preis auf Anfrage",SUMIFS(Prüfanforderungen!$K$3:$K$181,Prüfanforderungen!$P$3:$P$181,$W70,Prüfanforderungen!$D$3:$D$181,"Sicherheit-/Normprüfung"))</f>
        <v>Preis auf Anfrage</v>
      </c>
      <c r="M70" s="11"/>
      <c r="N70" s="11"/>
      <c r="O70" s="11"/>
      <c r="P70" s="13" t="str">
        <f aca="false">IF(COUNTIFS(Prüfanforderungen!$P$3:$P$181,$W70,Prüfanforderungen!$D$3:$D$181,"FFU/Fitting",Prüfanforderungen!$K$3:$K$181,"&gt;=0")=0,"Preis auf Anfrage",SUMIFS(Prüfanforderungen!$K$3:$K$181,Prüfanforderungen!$P$3:$P$181,$W70,Prüfanforderungen!$D$3:$D$181,"FFU/Fitting"))</f>
        <v>Preis auf Anfrage</v>
      </c>
      <c r="Q70" s="11"/>
      <c r="R70" s="11"/>
      <c r="S70" s="13" t="str">
        <f aca="false">IF(COUNTIFS(Prüfanforderungen!$P$3:$P$181,$W70,Prüfanforderungen!$D$3:$D$181,"NGO / StiWa",Prüfanforderungen!$K$3:$K$181,"&gt;=0")=0,"Preis auf Anfrage",SUMIFS(Prüfanforderungen!$K$3:$K$181,Prüfanforderungen!$P$3:$P$181,$W70,Prüfanforderungen!$D$3:$D$181,"NGO / StiWa"))</f>
        <v>Preis auf Anfrage</v>
      </c>
      <c r="T70" s="11"/>
      <c r="U70" s="13"/>
      <c r="V70" s="13"/>
      <c r="W70" s="11" t="s">
        <v>857</v>
      </c>
    </row>
    <row r="71" customFormat="false" ht="46.25" hidden="false" customHeight="false" outlineLevel="0" collapsed="false">
      <c r="A71" s="11" t="s">
        <v>409</v>
      </c>
      <c r="B71" s="11" t="s">
        <v>551</v>
      </c>
      <c r="C71" s="12" t="s">
        <v>855</v>
      </c>
      <c r="D71" s="11" t="s">
        <v>858</v>
      </c>
      <c r="E71" s="11" t="str">
        <f aca="false">IF(COUNTIFS(Prüfanforderungen!$P$3:$P$181,$W71)=0,"keine Norm hinterlegt",IF($L71=0,"0 € hinterlegt",""))</f>
        <v>keine Norm hinterlegt</v>
      </c>
      <c r="F71" s="12" t="s">
        <v>42</v>
      </c>
      <c r="G71" s="12"/>
      <c r="H71" s="12"/>
      <c r="I71" s="12" t="s">
        <v>42</v>
      </c>
      <c r="J71" s="12" t="s">
        <v>42</v>
      </c>
      <c r="K71" s="11"/>
      <c r="L71" s="13" t="str">
        <f aca="false">IF(COUNTIFS(Prüfanforderungen!$P$3:$P$181,$W71,Prüfanforderungen!$D$3:$D$181,"Sicherheit-/Normprüfung",Prüfanforderungen!$K$3:$K$181,"&gt;=0")=0,"Preis auf Anfrage",SUMIFS(Prüfanforderungen!$K$3:$K$181,Prüfanforderungen!$P$3:$P$181,$W71,Prüfanforderungen!$D$3:$D$181,"Sicherheit-/Normprüfung"))</f>
        <v>Preis auf Anfrage</v>
      </c>
      <c r="M71" s="11"/>
      <c r="N71" s="11"/>
      <c r="O71" s="11"/>
      <c r="P71" s="13" t="str">
        <f aca="false">IF(COUNTIFS(Prüfanforderungen!$P$3:$P$181,$W71,Prüfanforderungen!$D$3:$D$181,"FFU/Fitting",Prüfanforderungen!$K$3:$K$181,"&gt;=0")=0,"Preis auf Anfrage",SUMIFS(Prüfanforderungen!$K$3:$K$181,Prüfanforderungen!$P$3:$P$181,$W71,Prüfanforderungen!$D$3:$D$181,"FFU/Fitting"))</f>
        <v>Preis auf Anfrage</v>
      </c>
      <c r="Q71" s="11"/>
      <c r="R71" s="11"/>
      <c r="S71" s="13" t="str">
        <f aca="false">IF(COUNTIFS(Prüfanforderungen!$P$3:$P$181,$W71,Prüfanforderungen!$D$3:$D$181,"NGO / StiWa",Prüfanforderungen!$K$3:$K$181,"&gt;=0")=0,"Preis auf Anfrage",SUMIFS(Prüfanforderungen!$K$3:$K$181,Prüfanforderungen!$P$3:$P$181,$W71,Prüfanforderungen!$D$3:$D$181,"NGO / StiWa"))</f>
        <v>Preis auf Anfrage</v>
      </c>
      <c r="T71" s="11"/>
      <c r="U71" s="13"/>
      <c r="V71" s="13"/>
      <c r="W71" s="11" t="s">
        <v>859</v>
      </c>
    </row>
    <row r="72" customFormat="false" ht="46.25" hidden="false" customHeight="false" outlineLevel="0" collapsed="false">
      <c r="A72" s="11" t="s">
        <v>409</v>
      </c>
      <c r="B72" s="11" t="s">
        <v>551</v>
      </c>
      <c r="C72" s="12" t="s">
        <v>855</v>
      </c>
      <c r="D72" s="11" t="s">
        <v>552</v>
      </c>
      <c r="E72" s="11" t="str">
        <f aca="false">IF(COUNTIFS(Prüfanforderungen!$P$3:$P$181,$W72)=0,"keine Norm hinterlegt",IF($L72=0,"0 € hinterlegt",""))</f>
        <v/>
      </c>
      <c r="F72" s="12" t="s">
        <v>42</v>
      </c>
      <c r="G72" s="12"/>
      <c r="H72" s="12"/>
      <c r="I72" s="12" t="s">
        <v>42</v>
      </c>
      <c r="J72" s="12" t="s">
        <v>42</v>
      </c>
      <c r="K72" s="11" t="s">
        <v>167</v>
      </c>
      <c r="L72" s="13" t="str">
        <f aca="false">IF(COUNTIFS(Prüfanforderungen!$P$3:$P$181,$W72,Prüfanforderungen!$D$3:$D$181,"Sicherheit-/Normprüfung",Prüfanforderungen!$K$3:$K$181,"&gt;=0")=0,"Preis auf Anfrage",SUMIFS(Prüfanforderungen!$K$3:$K$181,Prüfanforderungen!$P$3:$P$181,$W72,Prüfanforderungen!$D$3:$D$181,"Sicherheit-/Normprüfung"))</f>
        <v>Preis auf Anfrage</v>
      </c>
      <c r="M72" s="11"/>
      <c r="N72" s="11"/>
      <c r="O72" s="11" t="s">
        <v>86</v>
      </c>
      <c r="P72" s="13" t="str">
        <f aca="false">IF(COUNTIFS(Prüfanforderungen!$P$3:$P$181,$W72,Prüfanforderungen!$D$3:$D$181,"FFU/Fitting",Prüfanforderungen!$K$3:$K$181,"&gt;=0")=0,"Preis auf Anfrage",SUMIFS(Prüfanforderungen!$K$3:$K$181,Prüfanforderungen!$P$3:$P$181,$W72,Prüfanforderungen!$D$3:$D$181,"FFU/Fitting"))</f>
        <v>Preis auf Anfrage</v>
      </c>
      <c r="Q72" s="11"/>
      <c r="R72" s="11"/>
      <c r="S72" s="13" t="str">
        <f aca="false">IF(COUNTIFS(Prüfanforderungen!$P$3:$P$181,$W72,Prüfanforderungen!$D$3:$D$181,"NGO / StiWa",Prüfanforderungen!$K$3:$K$181,"&gt;=0")=0,"Preis auf Anfrage",SUMIFS(Prüfanforderungen!$K$3:$K$181,Prüfanforderungen!$P$3:$P$181,$W72,Prüfanforderungen!$D$3:$D$181,"NGO / StiWa"))</f>
        <v>Preis auf Anfrage</v>
      </c>
      <c r="T72" s="11"/>
      <c r="U72" s="13"/>
      <c r="V72" s="13"/>
      <c r="W72" s="11" t="s">
        <v>553</v>
      </c>
    </row>
    <row r="73" customFormat="false" ht="46.25" hidden="false" customHeight="false" outlineLevel="0" collapsed="false">
      <c r="A73" s="11" t="s">
        <v>409</v>
      </c>
      <c r="B73" s="11" t="s">
        <v>551</v>
      </c>
      <c r="C73" s="12" t="s">
        <v>855</v>
      </c>
      <c r="D73" s="11" t="s">
        <v>554</v>
      </c>
      <c r="E73" s="11" t="str">
        <f aca="false">IF(COUNTIFS(Prüfanforderungen!$P$3:$P$181,$W73)=0,"keine Norm hinterlegt",IF($L73=0,"0 € hinterlegt",""))</f>
        <v/>
      </c>
      <c r="F73" s="12" t="s">
        <v>42</v>
      </c>
      <c r="G73" s="12"/>
      <c r="H73" s="12"/>
      <c r="I73" s="12" t="s">
        <v>42</v>
      </c>
      <c r="J73" s="12" t="s">
        <v>42</v>
      </c>
      <c r="K73" s="11" t="s">
        <v>171</v>
      </c>
      <c r="L73" s="13" t="str">
        <f aca="false">IF(COUNTIFS(Prüfanforderungen!$P$3:$P$181,$W73,Prüfanforderungen!$D$3:$D$181,"Sicherheit-/Normprüfung",Prüfanforderungen!$K$3:$K$181,"&gt;=0")=0,"Preis auf Anfrage",SUMIFS(Prüfanforderungen!$K$3:$K$181,Prüfanforderungen!$P$3:$P$181,$W73,Prüfanforderungen!$D$3:$D$181,"Sicherheit-/Normprüfung"))</f>
        <v>Preis auf Anfrage</v>
      </c>
      <c r="M73" s="11"/>
      <c r="N73" s="11"/>
      <c r="O73" s="11" t="s">
        <v>86</v>
      </c>
      <c r="P73" s="13" t="str">
        <f aca="false">IF(COUNTIFS(Prüfanforderungen!$P$3:$P$181,$W73,Prüfanforderungen!$D$3:$D$181,"FFU/Fitting",Prüfanforderungen!$K$3:$K$181,"&gt;=0")=0,"Preis auf Anfrage",SUMIFS(Prüfanforderungen!$K$3:$K$181,Prüfanforderungen!$P$3:$P$181,$W73,Prüfanforderungen!$D$3:$D$181,"FFU/Fitting"))</f>
        <v>Preis auf Anfrage</v>
      </c>
      <c r="Q73" s="11"/>
      <c r="R73" s="11"/>
      <c r="S73" s="13" t="str">
        <f aca="false">IF(COUNTIFS(Prüfanforderungen!$P$3:$P$181,$W73,Prüfanforderungen!$D$3:$D$181,"NGO / StiWa",Prüfanforderungen!$K$3:$K$181,"&gt;=0")=0,"Preis auf Anfrage",SUMIFS(Prüfanforderungen!$K$3:$K$181,Prüfanforderungen!$P$3:$P$181,$W73,Prüfanforderungen!$D$3:$D$181,"NGO / StiWa"))</f>
        <v>Preis auf Anfrage</v>
      </c>
      <c r="T73" s="11"/>
      <c r="U73" s="13"/>
      <c r="V73" s="13"/>
      <c r="W73" s="11" t="s">
        <v>555</v>
      </c>
    </row>
    <row r="74" customFormat="false" ht="46.25" hidden="false" customHeight="false" outlineLevel="0" collapsed="false">
      <c r="A74" s="11" t="s">
        <v>409</v>
      </c>
      <c r="B74" s="11" t="s">
        <v>551</v>
      </c>
      <c r="C74" s="12" t="s">
        <v>855</v>
      </c>
      <c r="D74" s="11" t="s">
        <v>556</v>
      </c>
      <c r="E74" s="11" t="str">
        <f aca="false">IF(COUNTIFS(Prüfanforderungen!$P$3:$P$181,$W74)=0,"keine Norm hinterlegt",IF($L74=0,"0 € hinterlegt",""))</f>
        <v>0 € hinterlegt</v>
      </c>
      <c r="F74" s="12" t="s">
        <v>139</v>
      </c>
      <c r="G74" s="12" t="n">
        <v>2</v>
      </c>
      <c r="H74" s="12"/>
      <c r="I74" s="12" t="s">
        <v>42</v>
      </c>
      <c r="J74" s="12" t="s">
        <v>42</v>
      </c>
      <c r="K74" s="11" t="s">
        <v>98</v>
      </c>
      <c r="L74" s="13" t="n">
        <f aca="false">IF(COUNTIFS(Prüfanforderungen!$P$3:$P$181,$W74,Prüfanforderungen!$D$3:$D$181,"Sicherheit-/Normprüfung",Prüfanforderungen!$K$3:$K$181,"&gt;=0")=0,"Preis auf Anfrage",SUMIFS(Prüfanforderungen!$K$3:$K$181,Prüfanforderungen!$P$3:$P$181,$W74,Prüfanforderungen!$D$3:$D$181,"Sicherheit-/Normprüfung"))</f>
        <v>0</v>
      </c>
      <c r="M74" s="11"/>
      <c r="N74" s="11"/>
      <c r="O74" s="11"/>
      <c r="P74" s="13" t="str">
        <f aca="false">IF(COUNTIFS(Prüfanforderungen!$P$3:$P$181,$W74,Prüfanforderungen!$D$3:$D$181,"FFU/Fitting",Prüfanforderungen!$K$3:$K$181,"&gt;=0")=0,"Preis auf Anfrage",SUMIFS(Prüfanforderungen!$K$3:$K$181,Prüfanforderungen!$P$3:$P$181,$W74,Prüfanforderungen!$D$3:$D$181,"FFU/Fitting"))</f>
        <v>Preis auf Anfrage</v>
      </c>
      <c r="Q74" s="11"/>
      <c r="R74" s="11"/>
      <c r="S74" s="13" t="str">
        <f aca="false">IF(COUNTIFS(Prüfanforderungen!$P$3:$P$181,$W74,Prüfanforderungen!$D$3:$D$181,"NGO / StiWa",Prüfanforderungen!$K$3:$K$181,"&gt;=0")=0,"Preis auf Anfrage",SUMIFS(Prüfanforderungen!$K$3:$K$181,Prüfanforderungen!$P$3:$P$181,$W74,Prüfanforderungen!$D$3:$D$181,"NGO / StiWa"))</f>
        <v>Preis auf Anfrage</v>
      </c>
      <c r="T74" s="11"/>
      <c r="U74" s="13"/>
      <c r="V74" s="13" t="n">
        <v>460</v>
      </c>
      <c r="W74" s="11" t="s">
        <v>557</v>
      </c>
    </row>
    <row r="75" customFormat="false" ht="57.45" hidden="false" customHeight="false" outlineLevel="0" collapsed="false">
      <c r="A75" s="11" t="s">
        <v>409</v>
      </c>
      <c r="B75" s="11" t="s">
        <v>551</v>
      </c>
      <c r="C75" s="12" t="s">
        <v>855</v>
      </c>
      <c r="D75" s="11" t="s">
        <v>558</v>
      </c>
      <c r="E75" s="11" t="str">
        <f aca="false">IF(COUNTIFS(Prüfanforderungen!$P$3:$P$181,$W75)=0,"keine Norm hinterlegt",IF($L75=0,"0 € hinterlegt",""))</f>
        <v/>
      </c>
      <c r="F75" s="12" t="s">
        <v>42</v>
      </c>
      <c r="G75" s="12" t="s">
        <v>860</v>
      </c>
      <c r="H75" s="12"/>
      <c r="I75" s="12" t="s">
        <v>42</v>
      </c>
      <c r="J75" s="12" t="s">
        <v>42</v>
      </c>
      <c r="K75" s="11" t="s">
        <v>91</v>
      </c>
      <c r="L75" s="13" t="n">
        <f aca="false">IF(COUNTIFS(Prüfanforderungen!$P$3:$P$181,$W75,Prüfanforderungen!$D$3:$D$181,"Sicherheit-/Normprüfung",Prüfanforderungen!$K$3:$K$181,"&gt;=0")=0,"Preis auf Anfrage",SUMIFS(Prüfanforderungen!$K$3:$K$181,Prüfanforderungen!$P$3:$P$181,$W75,Prüfanforderungen!$D$3:$D$181,"Sicherheit-/Normprüfung"))</f>
        <v>720</v>
      </c>
      <c r="M75" s="11"/>
      <c r="N75" s="11"/>
      <c r="O75" s="11"/>
      <c r="P75" s="13" t="str">
        <f aca="false">IF(COUNTIFS(Prüfanforderungen!$P$3:$P$181,$W75,Prüfanforderungen!$D$3:$D$181,"FFU/Fitting",Prüfanforderungen!$K$3:$K$181,"&gt;=0")=0,"Preis auf Anfrage",SUMIFS(Prüfanforderungen!$K$3:$K$181,Prüfanforderungen!$P$3:$P$181,$W75,Prüfanforderungen!$D$3:$D$181,"FFU/Fitting"))</f>
        <v>Preis auf Anfrage</v>
      </c>
      <c r="Q75" s="11"/>
      <c r="R75" s="11"/>
      <c r="S75" s="13" t="str">
        <f aca="false">IF(COUNTIFS(Prüfanforderungen!$P$3:$P$181,$W75,Prüfanforderungen!$D$3:$D$181,"NGO / StiWa",Prüfanforderungen!$K$3:$K$181,"&gt;=0")=0,"Preis auf Anfrage",SUMIFS(Prüfanforderungen!$K$3:$K$181,Prüfanforderungen!$P$3:$P$181,$W75,Prüfanforderungen!$D$3:$D$181,"NGO / StiWa"))</f>
        <v>Preis auf Anfrage</v>
      </c>
      <c r="T75" s="11"/>
      <c r="U75" s="13"/>
      <c r="V75" s="13" t="n">
        <v>540</v>
      </c>
      <c r="W75" s="11" t="s">
        <v>559</v>
      </c>
    </row>
    <row r="76" customFormat="false" ht="46.25" hidden="false" customHeight="false" outlineLevel="0" collapsed="false">
      <c r="A76" s="11" t="s">
        <v>409</v>
      </c>
      <c r="B76" s="11" t="s">
        <v>551</v>
      </c>
      <c r="C76" s="12" t="s">
        <v>855</v>
      </c>
      <c r="D76" s="11" t="s">
        <v>560</v>
      </c>
      <c r="E76" s="11" t="str">
        <f aca="false">IF(COUNTIFS(Prüfanforderungen!$P$3:$P$181,$W76)=0,"keine Norm hinterlegt",IF($L76=0,"0 € hinterlegt",""))</f>
        <v/>
      </c>
      <c r="F76" s="12" t="s">
        <v>42</v>
      </c>
      <c r="G76" s="12"/>
      <c r="H76" s="12"/>
      <c r="I76" s="12" t="s">
        <v>42</v>
      </c>
      <c r="J76" s="12" t="s">
        <v>42</v>
      </c>
      <c r="K76" s="11" t="s">
        <v>175</v>
      </c>
      <c r="L76" s="13" t="str">
        <f aca="false">IF(COUNTIFS(Prüfanforderungen!$P$3:$P$181,$W76,Prüfanforderungen!$D$3:$D$181,"Sicherheit-/Normprüfung",Prüfanforderungen!$K$3:$K$181,"&gt;=0")=0,"Preis auf Anfrage",SUMIFS(Prüfanforderungen!$K$3:$K$181,Prüfanforderungen!$P$3:$P$181,$W76,Prüfanforderungen!$D$3:$D$181,"Sicherheit-/Normprüfung"))</f>
        <v>Preis auf Anfrage</v>
      </c>
      <c r="M76" s="11"/>
      <c r="N76" s="11"/>
      <c r="O76" s="11"/>
      <c r="P76" s="13" t="str">
        <f aca="false">IF(COUNTIFS(Prüfanforderungen!$P$3:$P$181,$W76,Prüfanforderungen!$D$3:$D$181,"FFU/Fitting",Prüfanforderungen!$K$3:$K$181,"&gt;=0")=0,"Preis auf Anfrage",SUMIFS(Prüfanforderungen!$K$3:$K$181,Prüfanforderungen!$P$3:$P$181,$W76,Prüfanforderungen!$D$3:$D$181,"FFU/Fitting"))</f>
        <v>Preis auf Anfrage</v>
      </c>
      <c r="Q76" s="11"/>
      <c r="R76" s="11"/>
      <c r="S76" s="13" t="str">
        <f aca="false">IF(COUNTIFS(Prüfanforderungen!$P$3:$P$181,$W76,Prüfanforderungen!$D$3:$D$181,"NGO / StiWa",Prüfanforderungen!$K$3:$K$181,"&gt;=0")=0,"Preis auf Anfrage",SUMIFS(Prüfanforderungen!$K$3:$K$181,Prüfanforderungen!$P$3:$P$181,$W76,Prüfanforderungen!$D$3:$D$181,"NGO / StiWa"))</f>
        <v>Preis auf Anfrage</v>
      </c>
      <c r="T76" s="11"/>
      <c r="U76" s="13" t="n">
        <v>580</v>
      </c>
      <c r="V76" s="13"/>
      <c r="W76" s="11" t="s">
        <v>561</v>
      </c>
    </row>
    <row r="77" customFormat="false" ht="46.25" hidden="false" customHeight="false" outlineLevel="0" collapsed="false">
      <c r="A77" s="11" t="s">
        <v>409</v>
      </c>
      <c r="B77" s="11" t="s">
        <v>551</v>
      </c>
      <c r="C77" s="12" t="s">
        <v>855</v>
      </c>
      <c r="D77" s="11" t="s">
        <v>861</v>
      </c>
      <c r="E77" s="11" t="str">
        <f aca="false">IF(COUNTIFS(Prüfanforderungen!$P$3:$P$181,$W77)=0,"keine Norm hinterlegt",IF($L77=0,"0 € hinterlegt",""))</f>
        <v>keine Norm hinterlegt</v>
      </c>
      <c r="F77" s="12" t="s">
        <v>42</v>
      </c>
      <c r="G77" s="12"/>
      <c r="H77" s="12"/>
      <c r="I77" s="12" t="s">
        <v>42</v>
      </c>
      <c r="J77" s="12" t="s">
        <v>42</v>
      </c>
      <c r="K77" s="11"/>
      <c r="L77" s="13" t="str">
        <f aca="false">IF(COUNTIFS(Prüfanforderungen!$P$3:$P$181,$W77,Prüfanforderungen!$D$3:$D$181,"Sicherheit-/Normprüfung",Prüfanforderungen!$K$3:$K$181,"&gt;=0")=0,"Preis auf Anfrage",SUMIFS(Prüfanforderungen!$K$3:$K$181,Prüfanforderungen!$P$3:$P$181,$W77,Prüfanforderungen!$D$3:$D$181,"Sicherheit-/Normprüfung"))</f>
        <v>Preis auf Anfrage</v>
      </c>
      <c r="M77" s="11"/>
      <c r="N77" s="11"/>
      <c r="O77" s="11"/>
      <c r="P77" s="13" t="str">
        <f aca="false">IF(COUNTIFS(Prüfanforderungen!$P$3:$P$181,$W77,Prüfanforderungen!$D$3:$D$181,"FFU/Fitting",Prüfanforderungen!$K$3:$K$181,"&gt;=0")=0,"Preis auf Anfrage",SUMIFS(Prüfanforderungen!$K$3:$K$181,Prüfanforderungen!$P$3:$P$181,$W77,Prüfanforderungen!$D$3:$D$181,"FFU/Fitting"))</f>
        <v>Preis auf Anfrage</v>
      </c>
      <c r="Q77" s="11"/>
      <c r="R77" s="11"/>
      <c r="S77" s="13" t="str">
        <f aca="false">IF(COUNTIFS(Prüfanforderungen!$P$3:$P$181,$W77,Prüfanforderungen!$D$3:$D$181,"NGO / StiWa",Prüfanforderungen!$K$3:$K$181,"&gt;=0")=0,"Preis auf Anfrage",SUMIFS(Prüfanforderungen!$K$3:$K$181,Prüfanforderungen!$P$3:$P$181,$W77,Prüfanforderungen!$D$3:$D$181,"NGO / StiWa"))</f>
        <v>Preis auf Anfrage</v>
      </c>
      <c r="T77" s="11"/>
      <c r="U77" s="13"/>
      <c r="V77" s="13"/>
      <c r="W77" s="11" t="s">
        <v>862</v>
      </c>
    </row>
    <row r="78" customFormat="false" ht="46.25" hidden="false" customHeight="false" outlineLevel="0" collapsed="false">
      <c r="A78" s="11" t="s">
        <v>409</v>
      </c>
      <c r="B78" s="11" t="s">
        <v>551</v>
      </c>
      <c r="C78" s="12" t="s">
        <v>855</v>
      </c>
      <c r="D78" s="11" t="s">
        <v>562</v>
      </c>
      <c r="E78" s="11" t="str">
        <f aca="false">IF(COUNTIFS(Prüfanforderungen!$P$3:$P$181,$W78)=0,"keine Norm hinterlegt",IF($L78=0,"0 € hinterlegt",""))</f>
        <v>0 € hinterlegt</v>
      </c>
      <c r="F78" s="12" t="s">
        <v>42</v>
      </c>
      <c r="G78" s="12" t="n">
        <v>2</v>
      </c>
      <c r="H78" s="12"/>
      <c r="I78" s="12" t="s">
        <v>42</v>
      </c>
      <c r="J78" s="12" t="s">
        <v>42</v>
      </c>
      <c r="K78" s="11" t="s">
        <v>173</v>
      </c>
      <c r="L78" s="13" t="n">
        <f aca="false">IF(COUNTIFS(Prüfanforderungen!$P$3:$P$181,$W78,Prüfanforderungen!$D$3:$D$181,"Sicherheit-/Normprüfung",Prüfanforderungen!$K$3:$K$181,"&gt;=0")=0,"Preis auf Anfrage",SUMIFS(Prüfanforderungen!$K$3:$K$181,Prüfanforderungen!$P$3:$P$181,$W78,Prüfanforderungen!$D$3:$D$181,"Sicherheit-/Normprüfung"))</f>
        <v>0</v>
      </c>
      <c r="M78" s="11"/>
      <c r="N78" s="11"/>
      <c r="O78" s="11" t="s">
        <v>84</v>
      </c>
      <c r="P78" s="13" t="n">
        <f aca="false">IF(COUNTIFS(Prüfanforderungen!$P$3:$P$181,$W78,Prüfanforderungen!$D$3:$D$181,"FFU/Fitting",Prüfanforderungen!$K$3:$K$181,"&gt;=0")=0,"Preis auf Anfrage",SUMIFS(Prüfanforderungen!$K$3:$K$181,Prüfanforderungen!$P$3:$P$181,$W78,Prüfanforderungen!$D$3:$D$181,"FFU/Fitting"))</f>
        <v>650</v>
      </c>
      <c r="Q78" s="11"/>
      <c r="R78" s="11"/>
      <c r="S78" s="13" t="str">
        <f aca="false">IF(COUNTIFS(Prüfanforderungen!$P$3:$P$181,$W78,Prüfanforderungen!$D$3:$D$181,"NGO / StiWa",Prüfanforderungen!$K$3:$K$181,"&gt;=0")=0,"Preis auf Anfrage",SUMIFS(Prüfanforderungen!$K$3:$K$181,Prüfanforderungen!$P$3:$P$181,$W78,Prüfanforderungen!$D$3:$D$181,"NGO / StiWa"))</f>
        <v>Preis auf Anfrage</v>
      </c>
      <c r="T78" s="11"/>
      <c r="U78" s="13" t="n">
        <v>620</v>
      </c>
      <c r="V78" s="13" t="n">
        <v>1300</v>
      </c>
      <c r="W78" s="11" t="s">
        <v>563</v>
      </c>
    </row>
    <row r="79" customFormat="false" ht="46.25" hidden="false" customHeight="false" outlineLevel="0" collapsed="false">
      <c r="A79" s="11" t="s">
        <v>409</v>
      </c>
      <c r="B79" s="11" t="s">
        <v>551</v>
      </c>
      <c r="C79" s="12" t="s">
        <v>855</v>
      </c>
      <c r="D79" s="11" t="s">
        <v>564</v>
      </c>
      <c r="E79" s="11" t="str">
        <f aca="false">IF(COUNTIFS(Prüfanforderungen!$P$3:$P$181,$W79)=0,"keine Norm hinterlegt",IF($L79=0,"0 € hinterlegt",""))</f>
        <v>0 € hinterlegt</v>
      </c>
      <c r="F79" s="12" t="s">
        <v>139</v>
      </c>
      <c r="G79" s="12" t="n">
        <v>3</v>
      </c>
      <c r="H79" s="12"/>
      <c r="I79" s="12" t="s">
        <v>42</v>
      </c>
      <c r="J79" s="12" t="s">
        <v>42</v>
      </c>
      <c r="K79" s="11" t="s">
        <v>56</v>
      </c>
      <c r="L79" s="13" t="n">
        <f aca="false">IF(COUNTIFS(Prüfanforderungen!$P$3:$P$181,$W79,Prüfanforderungen!$D$3:$D$181,"Sicherheit-/Normprüfung",Prüfanforderungen!$K$3:$K$181,"&gt;=0")=0,"Preis auf Anfrage",SUMIFS(Prüfanforderungen!$K$3:$K$181,Prüfanforderungen!$P$3:$P$181,$W79,Prüfanforderungen!$D$3:$D$181,"Sicherheit-/Normprüfung"))</f>
        <v>0</v>
      </c>
      <c r="M79" s="11"/>
      <c r="N79" s="11"/>
      <c r="O79" s="11"/>
      <c r="P79" s="13" t="str">
        <f aca="false">IF(COUNTIFS(Prüfanforderungen!$P$3:$P$181,$W79,Prüfanforderungen!$D$3:$D$181,"FFU/Fitting",Prüfanforderungen!$K$3:$K$181,"&gt;=0")=0,"Preis auf Anfrage",SUMIFS(Prüfanforderungen!$K$3:$K$181,Prüfanforderungen!$P$3:$P$181,$W79,Prüfanforderungen!$D$3:$D$181,"FFU/Fitting"))</f>
        <v>Preis auf Anfrage</v>
      </c>
      <c r="Q79" s="11"/>
      <c r="R79" s="11"/>
      <c r="S79" s="13" t="str">
        <f aca="false">IF(COUNTIFS(Prüfanforderungen!$P$3:$P$181,$W79,Prüfanforderungen!$D$3:$D$181,"NGO / StiWa",Prüfanforderungen!$K$3:$K$181,"&gt;=0")=0,"Preis auf Anfrage",SUMIFS(Prüfanforderungen!$K$3:$K$181,Prüfanforderungen!$P$3:$P$181,$W79,Prüfanforderungen!$D$3:$D$181,"NGO / StiWa"))</f>
        <v>Preis auf Anfrage</v>
      </c>
      <c r="T79" s="11"/>
      <c r="U79" s="13"/>
      <c r="V79" s="13" t="n">
        <v>720</v>
      </c>
      <c r="W79" s="11" t="s">
        <v>565</v>
      </c>
    </row>
    <row r="80" customFormat="false" ht="46.25" hidden="false" customHeight="false" outlineLevel="0" collapsed="false">
      <c r="A80" s="11" t="s">
        <v>409</v>
      </c>
      <c r="B80" s="11" t="s">
        <v>551</v>
      </c>
      <c r="C80" s="12" t="s">
        <v>855</v>
      </c>
      <c r="D80" s="11" t="s">
        <v>566</v>
      </c>
      <c r="E80" s="11" t="str">
        <f aca="false">IF(COUNTIFS(Prüfanforderungen!$P$3:$P$181,$W80)=0,"keine Norm hinterlegt",IF($L80=0,"0 € hinterlegt",""))</f>
        <v>0 € hinterlegt</v>
      </c>
      <c r="F80" s="12" t="s">
        <v>139</v>
      </c>
      <c r="G80" s="12" t="n">
        <v>2</v>
      </c>
      <c r="H80" s="12"/>
      <c r="I80" s="12" t="s">
        <v>42</v>
      </c>
      <c r="J80" s="12" t="s">
        <v>42</v>
      </c>
      <c r="K80" s="11" t="s">
        <v>61</v>
      </c>
      <c r="L80" s="13" t="n">
        <f aca="false">IF(COUNTIFS(Prüfanforderungen!$P$3:$P$181,$W80,Prüfanforderungen!$D$3:$D$181,"Sicherheit-/Normprüfung",Prüfanforderungen!$K$3:$K$181,"&gt;=0")=0,"Preis auf Anfrage",SUMIFS(Prüfanforderungen!$K$3:$K$181,Prüfanforderungen!$P$3:$P$181,$W80,Prüfanforderungen!$D$3:$D$181,"Sicherheit-/Normprüfung"))</f>
        <v>0</v>
      </c>
      <c r="M80" s="11"/>
      <c r="N80" s="11"/>
      <c r="O80" s="11"/>
      <c r="P80" s="13" t="str">
        <f aca="false">IF(COUNTIFS(Prüfanforderungen!$P$3:$P$181,$W80,Prüfanforderungen!$D$3:$D$181,"FFU/Fitting",Prüfanforderungen!$K$3:$K$181,"&gt;=0")=0,"Preis auf Anfrage",SUMIFS(Prüfanforderungen!$K$3:$K$181,Prüfanforderungen!$P$3:$P$181,$W80,Prüfanforderungen!$D$3:$D$181,"FFU/Fitting"))</f>
        <v>Preis auf Anfrage</v>
      </c>
      <c r="Q80" s="11"/>
      <c r="R80" s="11"/>
      <c r="S80" s="13" t="str">
        <f aca="false">IF(COUNTIFS(Prüfanforderungen!$P$3:$P$181,$W80,Prüfanforderungen!$D$3:$D$181,"NGO / StiWa",Prüfanforderungen!$K$3:$K$181,"&gt;=0")=0,"Preis auf Anfrage",SUMIFS(Prüfanforderungen!$K$3:$K$181,Prüfanforderungen!$P$3:$P$181,$W80,Prüfanforderungen!$D$3:$D$181,"NGO / StiWa"))</f>
        <v>Preis auf Anfrage</v>
      </c>
      <c r="T80" s="11"/>
      <c r="U80" s="13"/>
      <c r="V80" s="13" t="n">
        <v>520</v>
      </c>
      <c r="W80" s="11" t="s">
        <v>567</v>
      </c>
    </row>
    <row r="81" customFormat="false" ht="46.25" hidden="false" customHeight="false" outlineLevel="0" collapsed="false">
      <c r="A81" s="11" t="s">
        <v>409</v>
      </c>
      <c r="B81" s="11" t="s">
        <v>551</v>
      </c>
      <c r="C81" s="12" t="s">
        <v>855</v>
      </c>
      <c r="D81" s="11" t="s">
        <v>863</v>
      </c>
      <c r="E81" s="11" t="str">
        <f aca="false">IF(COUNTIFS(Prüfanforderungen!$P$3:$P$181,$W81)=0,"keine Norm hinterlegt",IF($L81=0,"0 € hinterlegt",""))</f>
        <v>keine Norm hinterlegt</v>
      </c>
      <c r="F81" s="12" t="s">
        <v>42</v>
      </c>
      <c r="G81" s="12"/>
      <c r="H81" s="12"/>
      <c r="I81" s="12" t="s">
        <v>42</v>
      </c>
      <c r="J81" s="12" t="s">
        <v>42</v>
      </c>
      <c r="K81" s="11"/>
      <c r="L81" s="13" t="str">
        <f aca="false">IF(COUNTIFS(Prüfanforderungen!$P$3:$P$181,$W81,Prüfanforderungen!$D$3:$D$181,"Sicherheit-/Normprüfung",Prüfanforderungen!$K$3:$K$181,"&gt;=0")=0,"Preis auf Anfrage",SUMIFS(Prüfanforderungen!$K$3:$K$181,Prüfanforderungen!$P$3:$P$181,$W81,Prüfanforderungen!$D$3:$D$181,"Sicherheit-/Normprüfung"))</f>
        <v>Preis auf Anfrage</v>
      </c>
      <c r="M81" s="11"/>
      <c r="N81" s="11"/>
      <c r="O81" s="11"/>
      <c r="P81" s="13" t="str">
        <f aca="false">IF(COUNTIFS(Prüfanforderungen!$P$3:$P$181,$W81,Prüfanforderungen!$D$3:$D$181,"FFU/Fitting",Prüfanforderungen!$K$3:$K$181,"&gt;=0")=0,"Preis auf Anfrage",SUMIFS(Prüfanforderungen!$K$3:$K$181,Prüfanforderungen!$P$3:$P$181,$W81,Prüfanforderungen!$D$3:$D$181,"FFU/Fitting"))</f>
        <v>Preis auf Anfrage</v>
      </c>
      <c r="Q81" s="11"/>
      <c r="R81" s="11"/>
      <c r="S81" s="13" t="str">
        <f aca="false">IF(COUNTIFS(Prüfanforderungen!$P$3:$P$181,$W81,Prüfanforderungen!$D$3:$D$181,"NGO / StiWa",Prüfanforderungen!$K$3:$K$181,"&gt;=0")=0,"Preis auf Anfrage",SUMIFS(Prüfanforderungen!$K$3:$K$181,Prüfanforderungen!$P$3:$P$181,$W81,Prüfanforderungen!$D$3:$D$181,"NGO / StiWa"))</f>
        <v>Preis auf Anfrage</v>
      </c>
      <c r="T81" s="11"/>
      <c r="U81" s="13"/>
      <c r="V81" s="13"/>
      <c r="W81" s="11" t="s">
        <v>864</v>
      </c>
    </row>
    <row r="82" customFormat="false" ht="79.85" hidden="false" customHeight="false" outlineLevel="0" collapsed="false">
      <c r="A82" s="11" t="s">
        <v>409</v>
      </c>
      <c r="B82" s="11" t="s">
        <v>551</v>
      </c>
      <c r="C82" s="12" t="s">
        <v>855</v>
      </c>
      <c r="D82" s="11" t="s">
        <v>568</v>
      </c>
      <c r="E82" s="11" t="str">
        <f aca="false">IF(COUNTIFS(Prüfanforderungen!$P$3:$P$181,$W82)=0,"keine Norm hinterlegt",IF($L82=0,"0 € hinterlegt",""))</f>
        <v/>
      </c>
      <c r="F82" s="12" t="s">
        <v>42</v>
      </c>
      <c r="G82" s="12"/>
      <c r="H82" s="12"/>
      <c r="I82" s="12" t="s">
        <v>42</v>
      </c>
      <c r="J82" s="12" t="s">
        <v>42</v>
      </c>
      <c r="K82" s="11" t="s">
        <v>53</v>
      </c>
      <c r="L82" s="13" t="n">
        <f aca="false">IF(COUNTIFS(Prüfanforderungen!$P$3:$P$181,$W82,Prüfanforderungen!$D$3:$D$181,"Sicherheit-/Normprüfung",Prüfanforderungen!$K$3:$K$181,"&gt;=0")=0,"Preis auf Anfrage",SUMIFS(Prüfanforderungen!$K$3:$K$181,Prüfanforderungen!$P$3:$P$181,$W82,Prüfanforderungen!$D$3:$D$181,"Sicherheit-/Normprüfung"))</f>
        <v>520</v>
      </c>
      <c r="M82" s="11"/>
      <c r="N82" s="11" t="s">
        <v>865</v>
      </c>
      <c r="O82" s="11"/>
      <c r="P82" s="13" t="str">
        <f aca="false">IF(COUNTIFS(Prüfanforderungen!$P$3:$P$181,$W82,Prüfanforderungen!$D$3:$D$181,"FFU/Fitting",Prüfanforderungen!$K$3:$K$181,"&gt;=0")=0,"Preis auf Anfrage",SUMIFS(Prüfanforderungen!$K$3:$K$181,Prüfanforderungen!$P$3:$P$181,$W82,Prüfanforderungen!$D$3:$D$181,"FFU/Fitting"))</f>
        <v>Preis auf Anfrage</v>
      </c>
      <c r="Q82" s="11"/>
      <c r="R82" s="11"/>
      <c r="S82" s="13" t="str">
        <f aca="false">IF(COUNTIFS(Prüfanforderungen!$P$3:$P$181,$W82,Prüfanforderungen!$D$3:$D$181,"NGO / StiWa",Prüfanforderungen!$K$3:$K$181,"&gt;=0")=0,"Preis auf Anfrage",SUMIFS(Prüfanforderungen!$K$3:$K$181,Prüfanforderungen!$P$3:$P$181,$W82,Prüfanforderungen!$D$3:$D$181,"NGO / StiWa"))</f>
        <v>Preis auf Anfrage</v>
      </c>
      <c r="T82" s="11"/>
      <c r="U82" s="13"/>
      <c r="V82" s="13"/>
      <c r="W82" s="11" t="s">
        <v>569</v>
      </c>
    </row>
    <row r="83" customFormat="false" ht="46.25" hidden="false" customHeight="false" outlineLevel="0" collapsed="false">
      <c r="A83" s="11" t="s">
        <v>409</v>
      </c>
      <c r="B83" s="11" t="s">
        <v>551</v>
      </c>
      <c r="C83" s="12" t="s">
        <v>855</v>
      </c>
      <c r="D83" s="11" t="s">
        <v>866</v>
      </c>
      <c r="E83" s="11" t="str">
        <f aca="false">IF(COUNTIFS(Prüfanforderungen!$P$3:$P$181,$W83)=0,"keine Norm hinterlegt",IF($L83=0,"0 € hinterlegt",""))</f>
        <v>keine Norm hinterlegt</v>
      </c>
      <c r="F83" s="12" t="s">
        <v>42</v>
      </c>
      <c r="G83" s="12"/>
      <c r="H83" s="12"/>
      <c r="I83" s="12" t="s">
        <v>42</v>
      </c>
      <c r="J83" s="12" t="s">
        <v>42</v>
      </c>
      <c r="K83" s="11"/>
      <c r="L83" s="13" t="str">
        <f aca="false">IF(COUNTIFS(Prüfanforderungen!$P$3:$P$181,$W83,Prüfanforderungen!$D$3:$D$181,"Sicherheit-/Normprüfung",Prüfanforderungen!$K$3:$K$181,"&gt;=0")=0,"Preis auf Anfrage",SUMIFS(Prüfanforderungen!$K$3:$K$181,Prüfanforderungen!$P$3:$P$181,$W83,Prüfanforderungen!$D$3:$D$181,"Sicherheit-/Normprüfung"))</f>
        <v>Preis auf Anfrage</v>
      </c>
      <c r="M83" s="11"/>
      <c r="N83" s="11"/>
      <c r="O83" s="11"/>
      <c r="P83" s="13" t="str">
        <f aca="false">IF(COUNTIFS(Prüfanforderungen!$P$3:$P$181,$W83,Prüfanforderungen!$D$3:$D$181,"FFU/Fitting",Prüfanforderungen!$K$3:$K$181,"&gt;=0")=0,"Preis auf Anfrage",SUMIFS(Prüfanforderungen!$K$3:$K$181,Prüfanforderungen!$P$3:$P$181,$W83,Prüfanforderungen!$D$3:$D$181,"FFU/Fitting"))</f>
        <v>Preis auf Anfrage</v>
      </c>
      <c r="Q83" s="11"/>
      <c r="R83" s="11"/>
      <c r="S83" s="13" t="str">
        <f aca="false">IF(COUNTIFS(Prüfanforderungen!$P$3:$P$181,$W83,Prüfanforderungen!$D$3:$D$181,"NGO / StiWa",Prüfanforderungen!$K$3:$K$181,"&gt;=0")=0,"Preis auf Anfrage",SUMIFS(Prüfanforderungen!$K$3:$K$181,Prüfanforderungen!$P$3:$P$181,$W83,Prüfanforderungen!$D$3:$D$181,"NGO / StiWa"))</f>
        <v>Preis auf Anfrage</v>
      </c>
      <c r="T83" s="11"/>
      <c r="U83" s="13"/>
      <c r="V83" s="13"/>
      <c r="W83" s="11" t="s">
        <v>867</v>
      </c>
    </row>
    <row r="84" customFormat="false" ht="46.25" hidden="false" customHeight="false" outlineLevel="0" collapsed="false">
      <c r="A84" s="11" t="s">
        <v>409</v>
      </c>
      <c r="B84" s="11" t="s">
        <v>570</v>
      </c>
      <c r="C84" s="12" t="s">
        <v>868</v>
      </c>
      <c r="D84" s="11" t="s">
        <v>856</v>
      </c>
      <c r="E84" s="11" t="str">
        <f aca="false">IF(COUNTIFS(Prüfanforderungen!$P$3:$P$181,$W84)=0,"keine Norm hinterlegt",IF($L84=0,"0 € hinterlegt",""))</f>
        <v>keine Norm hinterlegt</v>
      </c>
      <c r="F84" s="12" t="s">
        <v>42</v>
      </c>
      <c r="G84" s="12"/>
      <c r="H84" s="12"/>
      <c r="I84" s="12" t="s">
        <v>42</v>
      </c>
      <c r="J84" s="12" t="s">
        <v>42</v>
      </c>
      <c r="K84" s="11"/>
      <c r="L84" s="13" t="str">
        <f aca="false">IF(COUNTIFS(Prüfanforderungen!$P$3:$P$181,$W84,Prüfanforderungen!$D$3:$D$181,"Sicherheit-/Normprüfung",Prüfanforderungen!$K$3:$K$181,"&gt;=0")=0,"Preis auf Anfrage",SUMIFS(Prüfanforderungen!$K$3:$K$181,Prüfanforderungen!$P$3:$P$181,$W84,Prüfanforderungen!$D$3:$D$181,"Sicherheit-/Normprüfung"))</f>
        <v>Preis auf Anfrage</v>
      </c>
      <c r="M84" s="11"/>
      <c r="N84" s="11"/>
      <c r="O84" s="11"/>
      <c r="P84" s="13" t="str">
        <f aca="false">IF(COUNTIFS(Prüfanforderungen!$P$3:$P$181,$W84,Prüfanforderungen!$D$3:$D$181,"FFU/Fitting",Prüfanforderungen!$K$3:$K$181,"&gt;=0")=0,"Preis auf Anfrage",SUMIFS(Prüfanforderungen!$K$3:$K$181,Prüfanforderungen!$P$3:$P$181,$W84,Prüfanforderungen!$D$3:$D$181,"FFU/Fitting"))</f>
        <v>Preis auf Anfrage</v>
      </c>
      <c r="Q84" s="11"/>
      <c r="R84" s="11"/>
      <c r="S84" s="13" t="str">
        <f aca="false">IF(COUNTIFS(Prüfanforderungen!$P$3:$P$181,$W84,Prüfanforderungen!$D$3:$D$181,"NGO / StiWa",Prüfanforderungen!$K$3:$K$181,"&gt;=0")=0,"Preis auf Anfrage",SUMIFS(Prüfanforderungen!$K$3:$K$181,Prüfanforderungen!$P$3:$P$181,$W84,Prüfanforderungen!$D$3:$D$181,"NGO / StiWa"))</f>
        <v>Preis auf Anfrage</v>
      </c>
      <c r="T84" s="11"/>
      <c r="U84" s="13"/>
      <c r="V84" s="13"/>
      <c r="W84" s="11" t="s">
        <v>869</v>
      </c>
    </row>
    <row r="85" customFormat="false" ht="46.25" hidden="false" customHeight="false" outlineLevel="0" collapsed="false">
      <c r="A85" s="11" t="s">
        <v>409</v>
      </c>
      <c r="B85" s="11" t="s">
        <v>570</v>
      </c>
      <c r="C85" s="12" t="s">
        <v>868</v>
      </c>
      <c r="D85" s="11" t="s">
        <v>571</v>
      </c>
      <c r="E85" s="11" t="str">
        <f aca="false">IF(COUNTIFS(Prüfanforderungen!$P$3:$P$181,$W85)=0,"keine Norm hinterlegt",IF($L85=0,"0 € hinterlegt",""))</f>
        <v>0 € hinterlegt</v>
      </c>
      <c r="F85" s="12" t="s">
        <v>139</v>
      </c>
      <c r="G85" s="12"/>
      <c r="H85" s="12"/>
      <c r="I85" s="12" t="s">
        <v>42</v>
      </c>
      <c r="J85" s="12" t="s">
        <v>42</v>
      </c>
      <c r="K85" s="11" t="s">
        <v>50</v>
      </c>
      <c r="L85" s="13" t="n">
        <f aca="false">IF(COUNTIFS(Prüfanforderungen!$P$3:$P$181,$W85,Prüfanforderungen!$D$3:$D$181,"Sicherheit-/Normprüfung",Prüfanforderungen!$K$3:$K$181,"&gt;=0")=0,"Preis auf Anfrage",SUMIFS(Prüfanforderungen!$K$3:$K$181,Prüfanforderungen!$P$3:$P$181,$W85,Prüfanforderungen!$D$3:$D$181,"Sicherheit-/Normprüfung"))</f>
        <v>0</v>
      </c>
      <c r="M85" s="11"/>
      <c r="N85" s="11" t="s">
        <v>815</v>
      </c>
      <c r="O85" s="11"/>
      <c r="P85" s="13" t="str">
        <f aca="false">IF(COUNTIFS(Prüfanforderungen!$P$3:$P$181,$W85,Prüfanforderungen!$D$3:$D$181,"FFU/Fitting",Prüfanforderungen!$K$3:$K$181,"&gt;=0")=0,"Preis auf Anfrage",SUMIFS(Prüfanforderungen!$K$3:$K$181,Prüfanforderungen!$P$3:$P$181,$W85,Prüfanforderungen!$D$3:$D$181,"FFU/Fitting"))</f>
        <v>Preis auf Anfrage</v>
      </c>
      <c r="Q85" s="11"/>
      <c r="R85" s="11"/>
      <c r="S85" s="13" t="str">
        <f aca="false">IF(COUNTIFS(Prüfanforderungen!$P$3:$P$181,$W85,Prüfanforderungen!$D$3:$D$181,"NGO / StiWa",Prüfanforderungen!$K$3:$K$181,"&gt;=0")=0,"Preis auf Anfrage",SUMIFS(Prüfanforderungen!$K$3:$K$181,Prüfanforderungen!$P$3:$P$181,$W85,Prüfanforderungen!$D$3:$D$181,"NGO / StiWa"))</f>
        <v>Preis auf Anfrage</v>
      </c>
      <c r="T85" s="11"/>
      <c r="U85" s="13"/>
      <c r="V85" s="13"/>
      <c r="W85" s="11" t="s">
        <v>572</v>
      </c>
    </row>
    <row r="86" customFormat="false" ht="46.25" hidden="false" customHeight="false" outlineLevel="0" collapsed="false">
      <c r="A86" s="11" t="s">
        <v>409</v>
      </c>
      <c r="B86" s="11" t="s">
        <v>570</v>
      </c>
      <c r="C86" s="12" t="s">
        <v>868</v>
      </c>
      <c r="D86" s="11" t="s">
        <v>573</v>
      </c>
      <c r="E86" s="11" t="str">
        <f aca="false">IF(COUNTIFS(Prüfanforderungen!$P$3:$P$181,$W86)=0,"keine Norm hinterlegt",IF($L86=0,"0 € hinterlegt",""))</f>
        <v>0 € hinterlegt</v>
      </c>
      <c r="F86" s="12" t="s">
        <v>139</v>
      </c>
      <c r="G86" s="12"/>
      <c r="H86" s="12"/>
      <c r="I86" s="12" t="s">
        <v>42</v>
      </c>
      <c r="J86" s="12" t="s">
        <v>42</v>
      </c>
      <c r="K86" s="11" t="s">
        <v>50</v>
      </c>
      <c r="L86" s="13" t="n">
        <f aca="false">IF(COUNTIFS(Prüfanforderungen!$P$3:$P$181,$W86,Prüfanforderungen!$D$3:$D$181,"Sicherheit-/Normprüfung",Prüfanforderungen!$K$3:$K$181,"&gt;=0")=0,"Preis auf Anfrage",SUMIFS(Prüfanforderungen!$K$3:$K$181,Prüfanforderungen!$P$3:$P$181,$W86,Prüfanforderungen!$D$3:$D$181,"Sicherheit-/Normprüfung"))</f>
        <v>0</v>
      </c>
      <c r="M86" s="11"/>
      <c r="N86" s="11" t="s">
        <v>815</v>
      </c>
      <c r="O86" s="11"/>
      <c r="P86" s="13" t="str">
        <f aca="false">IF(COUNTIFS(Prüfanforderungen!$P$3:$P$181,$W86,Prüfanforderungen!$D$3:$D$181,"FFU/Fitting",Prüfanforderungen!$K$3:$K$181,"&gt;=0")=0,"Preis auf Anfrage",SUMIFS(Prüfanforderungen!$K$3:$K$181,Prüfanforderungen!$P$3:$P$181,$W86,Prüfanforderungen!$D$3:$D$181,"FFU/Fitting"))</f>
        <v>Preis auf Anfrage</v>
      </c>
      <c r="Q86" s="11"/>
      <c r="R86" s="11"/>
      <c r="S86" s="13" t="str">
        <f aca="false">IF(COUNTIFS(Prüfanforderungen!$P$3:$P$181,$W86,Prüfanforderungen!$D$3:$D$181,"NGO / StiWa",Prüfanforderungen!$K$3:$K$181,"&gt;=0")=0,"Preis auf Anfrage",SUMIFS(Prüfanforderungen!$K$3:$K$181,Prüfanforderungen!$P$3:$P$181,$W86,Prüfanforderungen!$D$3:$D$181,"NGO / StiWa"))</f>
        <v>Preis auf Anfrage</v>
      </c>
      <c r="T86" s="11"/>
      <c r="U86" s="13"/>
      <c r="V86" s="13" t="n">
        <v>480</v>
      </c>
      <c r="W86" s="11" t="s">
        <v>574</v>
      </c>
    </row>
    <row r="87" customFormat="false" ht="102.2" hidden="false" customHeight="false" outlineLevel="0" collapsed="false">
      <c r="A87" s="11" t="s">
        <v>409</v>
      </c>
      <c r="B87" s="11" t="s">
        <v>570</v>
      </c>
      <c r="C87" s="12" t="s">
        <v>868</v>
      </c>
      <c r="D87" s="11" t="s">
        <v>575</v>
      </c>
      <c r="E87" s="11" t="str">
        <f aca="false">IF(COUNTIFS(Prüfanforderungen!$P$3:$P$181,$W87)=0,"keine Norm hinterlegt",IF($L87=0,"0 € hinterlegt",""))</f>
        <v>0 € hinterlegt</v>
      </c>
      <c r="F87" s="12" t="s">
        <v>42</v>
      </c>
      <c r="G87" s="12" t="n">
        <v>3</v>
      </c>
      <c r="H87" s="12"/>
      <c r="I87" s="12" t="s">
        <v>42</v>
      </c>
      <c r="J87" s="12" t="s">
        <v>42</v>
      </c>
      <c r="K87" s="11" t="s">
        <v>254</v>
      </c>
      <c r="L87" s="13" t="n">
        <f aca="false">IF(COUNTIFS(Prüfanforderungen!$P$3:$P$181,$W87,Prüfanforderungen!$D$3:$D$181,"Sicherheit-/Normprüfung",Prüfanforderungen!$K$3:$K$181,"&gt;=0")=0,"Preis auf Anfrage",SUMIFS(Prüfanforderungen!$K$3:$K$181,Prüfanforderungen!$P$3:$P$181,$W87,Prüfanforderungen!$D$3:$D$181,"Sicherheit-/Normprüfung"))</f>
        <v>0</v>
      </c>
      <c r="M87" s="11"/>
      <c r="N87" s="11" t="s">
        <v>870</v>
      </c>
      <c r="O87" s="11"/>
      <c r="P87" s="13" t="str">
        <f aca="false">IF(COUNTIFS(Prüfanforderungen!$P$3:$P$181,$W87,Prüfanforderungen!$D$3:$D$181,"FFU/Fitting",Prüfanforderungen!$K$3:$K$181,"&gt;=0")=0,"Preis auf Anfrage",SUMIFS(Prüfanforderungen!$K$3:$K$181,Prüfanforderungen!$P$3:$P$181,$W87,Prüfanforderungen!$D$3:$D$181,"FFU/Fitting"))</f>
        <v>Preis auf Anfrage</v>
      </c>
      <c r="Q87" s="11"/>
      <c r="R87" s="11"/>
      <c r="S87" s="13" t="str">
        <f aca="false">IF(COUNTIFS(Prüfanforderungen!$P$3:$P$181,$W87,Prüfanforderungen!$D$3:$D$181,"NGO / StiWa",Prüfanforderungen!$K$3:$K$181,"&gt;=0")=0,"Preis auf Anfrage",SUMIFS(Prüfanforderungen!$K$3:$K$181,Prüfanforderungen!$P$3:$P$181,$W87,Prüfanforderungen!$D$3:$D$181,"NGO / StiWa"))</f>
        <v>Preis auf Anfrage</v>
      </c>
      <c r="T87" s="11"/>
      <c r="U87" s="13" t="n">
        <v>1410</v>
      </c>
      <c r="V87" s="13"/>
      <c r="W87" s="11" t="s">
        <v>576</v>
      </c>
    </row>
    <row r="88" customFormat="false" ht="46.25" hidden="false" customHeight="false" outlineLevel="0" collapsed="false">
      <c r="A88" s="11" t="s">
        <v>409</v>
      </c>
      <c r="B88" s="11" t="s">
        <v>570</v>
      </c>
      <c r="C88" s="12" t="s">
        <v>868</v>
      </c>
      <c r="D88" s="11" t="s">
        <v>577</v>
      </c>
      <c r="E88" s="11" t="str">
        <f aca="false">IF(COUNTIFS(Prüfanforderungen!$P$3:$P$181,$W88)=0,"keine Norm hinterlegt",IF($L88=0,"0 € hinterlegt",""))</f>
        <v>0 € hinterlegt</v>
      </c>
      <c r="F88" s="12" t="s">
        <v>139</v>
      </c>
      <c r="G88" s="12"/>
      <c r="H88" s="12"/>
      <c r="I88" s="12" t="s">
        <v>42</v>
      </c>
      <c r="J88" s="12" t="s">
        <v>42</v>
      </c>
      <c r="K88" s="11" t="s">
        <v>50</v>
      </c>
      <c r="L88" s="13" t="n">
        <f aca="false">IF(COUNTIFS(Prüfanforderungen!$P$3:$P$181,$W88,Prüfanforderungen!$D$3:$D$181,"Sicherheit-/Normprüfung",Prüfanforderungen!$K$3:$K$181,"&gt;=0")=0,"Preis auf Anfrage",SUMIFS(Prüfanforderungen!$K$3:$K$181,Prüfanforderungen!$P$3:$P$181,$W88,Prüfanforderungen!$D$3:$D$181,"Sicherheit-/Normprüfung"))</f>
        <v>0</v>
      </c>
      <c r="M88" s="11"/>
      <c r="N88" s="11" t="s">
        <v>815</v>
      </c>
      <c r="O88" s="11"/>
      <c r="P88" s="13" t="str">
        <f aca="false">IF(COUNTIFS(Prüfanforderungen!$P$3:$P$181,$W88,Prüfanforderungen!$D$3:$D$181,"FFU/Fitting",Prüfanforderungen!$K$3:$K$181,"&gt;=0")=0,"Preis auf Anfrage",SUMIFS(Prüfanforderungen!$K$3:$K$181,Prüfanforderungen!$P$3:$P$181,$W88,Prüfanforderungen!$D$3:$D$181,"FFU/Fitting"))</f>
        <v>Preis auf Anfrage</v>
      </c>
      <c r="Q88" s="11"/>
      <c r="R88" s="11"/>
      <c r="S88" s="13" t="str">
        <f aca="false">IF(COUNTIFS(Prüfanforderungen!$P$3:$P$181,$W88,Prüfanforderungen!$D$3:$D$181,"NGO / StiWa",Prüfanforderungen!$K$3:$K$181,"&gt;=0")=0,"Preis auf Anfrage",SUMIFS(Prüfanforderungen!$K$3:$K$181,Prüfanforderungen!$P$3:$P$181,$W88,Prüfanforderungen!$D$3:$D$181,"NGO / StiWa"))</f>
        <v>Preis auf Anfrage</v>
      </c>
      <c r="T88" s="11"/>
      <c r="U88" s="13"/>
      <c r="V88" s="13"/>
      <c r="W88" s="11" t="s">
        <v>578</v>
      </c>
    </row>
    <row r="89" customFormat="false" ht="46.25" hidden="false" customHeight="false" outlineLevel="0" collapsed="false">
      <c r="A89" s="11" t="s">
        <v>409</v>
      </c>
      <c r="B89" s="11" t="s">
        <v>579</v>
      </c>
      <c r="C89" s="12" t="s">
        <v>871</v>
      </c>
      <c r="D89" s="11" t="s">
        <v>580</v>
      </c>
      <c r="E89" s="11" t="str">
        <f aca="false">IF(COUNTIFS(Prüfanforderungen!$P$3:$P$181,$W89)=0,"keine Norm hinterlegt",IF($L89=0,"0 € hinterlegt",""))</f>
        <v/>
      </c>
      <c r="F89" s="12" t="s">
        <v>139</v>
      </c>
      <c r="G89" s="12"/>
      <c r="H89" s="12"/>
      <c r="I89" s="12" t="s">
        <v>42</v>
      </c>
      <c r="J89" s="12" t="s">
        <v>42</v>
      </c>
      <c r="K89" s="11" t="s">
        <v>50</v>
      </c>
      <c r="L89" s="13" t="n">
        <f aca="false">IF(COUNTIFS(Prüfanforderungen!$P$3:$P$181,$W89,Prüfanforderungen!$D$3:$D$181,"Sicherheit-/Normprüfung",Prüfanforderungen!$K$3:$K$181,"&gt;=0")=0,"Preis auf Anfrage",SUMIFS(Prüfanforderungen!$K$3:$K$181,Prüfanforderungen!$P$3:$P$181,$W89,Prüfanforderungen!$D$3:$D$181,"Sicherheit-/Normprüfung"))</f>
        <v>720</v>
      </c>
      <c r="M89" s="11"/>
      <c r="N89" s="11" t="s">
        <v>815</v>
      </c>
      <c r="O89" s="11"/>
      <c r="P89" s="13" t="str">
        <f aca="false">IF(COUNTIFS(Prüfanforderungen!$P$3:$P$181,$W89,Prüfanforderungen!$D$3:$D$181,"FFU/Fitting",Prüfanforderungen!$K$3:$K$181,"&gt;=0")=0,"Preis auf Anfrage",SUMIFS(Prüfanforderungen!$K$3:$K$181,Prüfanforderungen!$P$3:$P$181,$W89,Prüfanforderungen!$D$3:$D$181,"FFU/Fitting"))</f>
        <v>Preis auf Anfrage</v>
      </c>
      <c r="Q89" s="11"/>
      <c r="R89" s="11"/>
      <c r="S89" s="13" t="str">
        <f aca="false">IF(COUNTIFS(Prüfanforderungen!$P$3:$P$181,$W89,Prüfanforderungen!$D$3:$D$181,"NGO / StiWa",Prüfanforderungen!$K$3:$K$181,"&gt;=0")=0,"Preis auf Anfrage",SUMIFS(Prüfanforderungen!$K$3:$K$181,Prüfanforderungen!$P$3:$P$181,$W89,Prüfanforderungen!$D$3:$D$181,"NGO / StiWa"))</f>
        <v>Preis auf Anfrage</v>
      </c>
      <c r="T89" s="11"/>
      <c r="U89" s="13"/>
      <c r="V89" s="13" t="n">
        <v>360</v>
      </c>
      <c r="W89" s="11" t="s">
        <v>581</v>
      </c>
    </row>
    <row r="90" customFormat="false" ht="46.25" hidden="false" customHeight="false" outlineLevel="0" collapsed="false">
      <c r="A90" s="11" t="s">
        <v>582</v>
      </c>
      <c r="B90" s="11" t="s">
        <v>872</v>
      </c>
      <c r="C90" s="12" t="s">
        <v>873</v>
      </c>
      <c r="D90" s="11" t="s">
        <v>874</v>
      </c>
      <c r="E90" s="11" t="str">
        <f aca="false">IF(COUNTIFS(Prüfanforderungen!$P$3:$P$181,$W90)=0,"keine Norm hinterlegt",IF($L90=0,"0 € hinterlegt",""))</f>
        <v>keine Norm hinterlegt</v>
      </c>
      <c r="F90" s="12" t="s">
        <v>42</v>
      </c>
      <c r="G90" s="12"/>
      <c r="H90" s="12"/>
      <c r="I90" s="12" t="s">
        <v>42</v>
      </c>
      <c r="J90" s="12" t="s">
        <v>42</v>
      </c>
      <c r="K90" s="11"/>
      <c r="L90" s="13" t="str">
        <f aca="false">IF(COUNTIFS(Prüfanforderungen!$P$3:$P$181,$W90,Prüfanforderungen!$D$3:$D$181,"Sicherheit-/Normprüfung",Prüfanforderungen!$K$3:$K$181,"&gt;=0")=0,"Preis auf Anfrage",SUMIFS(Prüfanforderungen!$K$3:$K$181,Prüfanforderungen!$P$3:$P$181,$W90,Prüfanforderungen!$D$3:$D$181,"Sicherheit-/Normprüfung"))</f>
        <v>Preis auf Anfrage</v>
      </c>
      <c r="M90" s="11"/>
      <c r="N90" s="11"/>
      <c r="O90" s="11"/>
      <c r="P90" s="13" t="str">
        <f aca="false">IF(COUNTIFS(Prüfanforderungen!$P$3:$P$181,$W90,Prüfanforderungen!$D$3:$D$181,"FFU/Fitting",Prüfanforderungen!$K$3:$K$181,"&gt;=0")=0,"Preis auf Anfrage",SUMIFS(Prüfanforderungen!$K$3:$K$181,Prüfanforderungen!$P$3:$P$181,$W90,Prüfanforderungen!$D$3:$D$181,"FFU/Fitting"))</f>
        <v>Preis auf Anfrage</v>
      </c>
      <c r="Q90" s="11"/>
      <c r="R90" s="11"/>
      <c r="S90" s="13" t="str">
        <f aca="false">IF(COUNTIFS(Prüfanforderungen!$P$3:$P$181,$W90,Prüfanforderungen!$D$3:$D$181,"NGO / StiWa",Prüfanforderungen!$K$3:$K$181,"&gt;=0")=0,"Preis auf Anfrage",SUMIFS(Prüfanforderungen!$K$3:$K$181,Prüfanforderungen!$P$3:$P$181,$W90,Prüfanforderungen!$D$3:$D$181,"NGO / StiWa"))</f>
        <v>Preis auf Anfrage</v>
      </c>
      <c r="T90" s="11"/>
      <c r="U90" s="13"/>
      <c r="V90" s="13"/>
      <c r="W90" s="11" t="s">
        <v>875</v>
      </c>
    </row>
    <row r="91" customFormat="false" ht="46.25" hidden="false" customHeight="false" outlineLevel="0" collapsed="false">
      <c r="A91" s="11" t="s">
        <v>582</v>
      </c>
      <c r="B91" s="11" t="s">
        <v>872</v>
      </c>
      <c r="C91" s="12" t="s">
        <v>873</v>
      </c>
      <c r="D91" s="11" t="s">
        <v>876</v>
      </c>
      <c r="E91" s="11" t="str">
        <f aca="false">IF(COUNTIFS(Prüfanforderungen!$P$3:$P$181,$W91)=0,"keine Norm hinterlegt",IF($L91=0,"0 € hinterlegt",""))</f>
        <v>keine Norm hinterlegt</v>
      </c>
      <c r="F91" s="12" t="s">
        <v>42</v>
      </c>
      <c r="G91" s="12"/>
      <c r="H91" s="12"/>
      <c r="I91" s="12" t="s">
        <v>42</v>
      </c>
      <c r="J91" s="12" t="s">
        <v>42</v>
      </c>
      <c r="K91" s="11"/>
      <c r="L91" s="13" t="str">
        <f aca="false">IF(COUNTIFS(Prüfanforderungen!$P$3:$P$181,$W91,Prüfanforderungen!$D$3:$D$181,"Sicherheit-/Normprüfung",Prüfanforderungen!$K$3:$K$181,"&gt;=0")=0,"Preis auf Anfrage",SUMIFS(Prüfanforderungen!$K$3:$K$181,Prüfanforderungen!$P$3:$P$181,$W91,Prüfanforderungen!$D$3:$D$181,"Sicherheit-/Normprüfung"))</f>
        <v>Preis auf Anfrage</v>
      </c>
      <c r="M91" s="11"/>
      <c r="N91" s="11"/>
      <c r="O91" s="11"/>
      <c r="P91" s="13" t="str">
        <f aca="false">IF(COUNTIFS(Prüfanforderungen!$P$3:$P$181,$W91,Prüfanforderungen!$D$3:$D$181,"FFU/Fitting",Prüfanforderungen!$K$3:$K$181,"&gt;=0")=0,"Preis auf Anfrage",SUMIFS(Prüfanforderungen!$K$3:$K$181,Prüfanforderungen!$P$3:$P$181,$W91,Prüfanforderungen!$D$3:$D$181,"FFU/Fitting"))</f>
        <v>Preis auf Anfrage</v>
      </c>
      <c r="Q91" s="11"/>
      <c r="R91" s="11"/>
      <c r="S91" s="13" t="str">
        <f aca="false">IF(COUNTIFS(Prüfanforderungen!$P$3:$P$181,$W91,Prüfanforderungen!$D$3:$D$181,"NGO / StiWa",Prüfanforderungen!$K$3:$K$181,"&gt;=0")=0,"Preis auf Anfrage",SUMIFS(Prüfanforderungen!$K$3:$K$181,Prüfanforderungen!$P$3:$P$181,$W91,Prüfanforderungen!$D$3:$D$181,"NGO / StiWa"))</f>
        <v>Preis auf Anfrage</v>
      </c>
      <c r="T91" s="11"/>
      <c r="U91" s="13"/>
      <c r="V91" s="13"/>
      <c r="W91" s="11" t="s">
        <v>877</v>
      </c>
    </row>
    <row r="92" customFormat="false" ht="46.25" hidden="false" customHeight="false" outlineLevel="0" collapsed="false">
      <c r="A92" s="11" t="s">
        <v>582</v>
      </c>
      <c r="B92" s="11" t="s">
        <v>872</v>
      </c>
      <c r="C92" s="12" t="s">
        <v>873</v>
      </c>
      <c r="D92" s="11" t="s">
        <v>878</v>
      </c>
      <c r="E92" s="11" t="str">
        <f aca="false">IF(COUNTIFS(Prüfanforderungen!$P$3:$P$181,$W92)=0,"keine Norm hinterlegt",IF($L92=0,"0 € hinterlegt",""))</f>
        <v>keine Norm hinterlegt</v>
      </c>
      <c r="F92" s="12" t="s">
        <v>42</v>
      </c>
      <c r="G92" s="12"/>
      <c r="H92" s="12"/>
      <c r="I92" s="12" t="s">
        <v>42</v>
      </c>
      <c r="J92" s="12" t="s">
        <v>42</v>
      </c>
      <c r="K92" s="11"/>
      <c r="L92" s="13" t="str">
        <f aca="false">IF(COUNTIFS(Prüfanforderungen!$P$3:$P$181,$W92,Prüfanforderungen!$D$3:$D$181,"Sicherheit-/Normprüfung",Prüfanforderungen!$K$3:$K$181,"&gt;=0")=0,"Preis auf Anfrage",SUMIFS(Prüfanforderungen!$K$3:$K$181,Prüfanforderungen!$P$3:$P$181,$W92,Prüfanforderungen!$D$3:$D$181,"Sicherheit-/Normprüfung"))</f>
        <v>Preis auf Anfrage</v>
      </c>
      <c r="M92" s="11"/>
      <c r="N92" s="11"/>
      <c r="O92" s="11"/>
      <c r="P92" s="13" t="str">
        <f aca="false">IF(COUNTIFS(Prüfanforderungen!$P$3:$P$181,$W92,Prüfanforderungen!$D$3:$D$181,"FFU/Fitting",Prüfanforderungen!$K$3:$K$181,"&gt;=0")=0,"Preis auf Anfrage",SUMIFS(Prüfanforderungen!$K$3:$K$181,Prüfanforderungen!$P$3:$P$181,$W92,Prüfanforderungen!$D$3:$D$181,"FFU/Fitting"))</f>
        <v>Preis auf Anfrage</v>
      </c>
      <c r="Q92" s="11"/>
      <c r="R92" s="11"/>
      <c r="S92" s="13" t="str">
        <f aca="false">IF(COUNTIFS(Prüfanforderungen!$P$3:$P$181,$W92,Prüfanforderungen!$D$3:$D$181,"NGO / StiWa",Prüfanforderungen!$K$3:$K$181,"&gt;=0")=0,"Preis auf Anfrage",SUMIFS(Prüfanforderungen!$K$3:$K$181,Prüfanforderungen!$P$3:$P$181,$W92,Prüfanforderungen!$D$3:$D$181,"NGO / StiWa"))</f>
        <v>Preis auf Anfrage</v>
      </c>
      <c r="T92" s="11"/>
      <c r="U92" s="13"/>
      <c r="V92" s="13"/>
      <c r="W92" s="11" t="s">
        <v>879</v>
      </c>
    </row>
    <row r="93" customFormat="false" ht="79.85" hidden="false" customHeight="false" outlineLevel="0" collapsed="false">
      <c r="A93" s="11" t="s">
        <v>582</v>
      </c>
      <c r="B93" s="11" t="s">
        <v>583</v>
      </c>
      <c r="C93" s="12" t="s">
        <v>880</v>
      </c>
      <c r="D93" s="11" t="s">
        <v>584</v>
      </c>
      <c r="E93" s="11" t="str">
        <f aca="false">IF(COUNTIFS(Prüfanforderungen!$P$3:$P$181,$W93)=0,"keine Norm hinterlegt",IF($L93=0,"0 € hinterlegt",""))</f>
        <v>0 € hinterlegt</v>
      </c>
      <c r="F93" s="12" t="s">
        <v>42</v>
      </c>
      <c r="G93" s="12" t="n">
        <v>5</v>
      </c>
      <c r="H93" s="12"/>
      <c r="I93" s="12" t="s">
        <v>42</v>
      </c>
      <c r="J93" s="12" t="s">
        <v>42</v>
      </c>
      <c r="K93" s="11" t="s">
        <v>237</v>
      </c>
      <c r="L93" s="13" t="n">
        <f aca="false">IF(COUNTIFS(Prüfanforderungen!$P$3:$P$181,$W93,Prüfanforderungen!$D$3:$D$181,"Sicherheit-/Normprüfung",Prüfanforderungen!$K$3:$K$181,"&gt;=0")=0,"Preis auf Anfrage",SUMIFS(Prüfanforderungen!$K$3:$K$181,Prüfanforderungen!$P$3:$P$181,$W93,Prüfanforderungen!$D$3:$D$181,"Sicherheit-/Normprüfung"))</f>
        <v>0</v>
      </c>
      <c r="M93" s="11"/>
      <c r="N93" s="11" t="s">
        <v>881</v>
      </c>
      <c r="O93" s="11"/>
      <c r="P93" s="13" t="str">
        <f aca="false">IF(COUNTIFS(Prüfanforderungen!$P$3:$P$181,$W93,Prüfanforderungen!$D$3:$D$181,"FFU/Fitting",Prüfanforderungen!$K$3:$K$181,"&gt;=0")=0,"Preis auf Anfrage",SUMIFS(Prüfanforderungen!$K$3:$K$181,Prüfanforderungen!$P$3:$P$181,$W93,Prüfanforderungen!$D$3:$D$181,"FFU/Fitting"))</f>
        <v>Preis auf Anfrage</v>
      </c>
      <c r="Q93" s="11"/>
      <c r="R93" s="11"/>
      <c r="S93" s="13" t="str">
        <f aca="false">IF(COUNTIFS(Prüfanforderungen!$P$3:$P$181,$W93,Prüfanforderungen!$D$3:$D$181,"NGO / StiWa",Prüfanforderungen!$K$3:$K$181,"&gt;=0")=0,"Preis auf Anfrage",SUMIFS(Prüfanforderungen!$K$3:$K$181,Prüfanforderungen!$P$3:$P$181,$W93,Prüfanforderungen!$D$3:$D$181,"NGO / StiWa"))</f>
        <v>Preis auf Anfrage</v>
      </c>
      <c r="T93" s="11"/>
      <c r="U93" s="13"/>
      <c r="V93" s="13" t="n">
        <v>1700</v>
      </c>
      <c r="W93" s="11" t="s">
        <v>585</v>
      </c>
    </row>
    <row r="94" customFormat="false" ht="57.45" hidden="false" customHeight="false" outlineLevel="0" collapsed="false">
      <c r="A94" s="11" t="s">
        <v>582</v>
      </c>
      <c r="B94" s="11" t="s">
        <v>583</v>
      </c>
      <c r="C94" s="12" t="s">
        <v>880</v>
      </c>
      <c r="D94" s="11" t="s">
        <v>586</v>
      </c>
      <c r="E94" s="11" t="str">
        <f aca="false">IF(COUNTIFS(Prüfanforderungen!$P$3:$P$181,$W94)=0,"keine Norm hinterlegt",IF($L94=0,"0 € hinterlegt",""))</f>
        <v>0 € hinterlegt</v>
      </c>
      <c r="F94" s="12" t="s">
        <v>42</v>
      </c>
      <c r="G94" s="12" t="n">
        <v>7</v>
      </c>
      <c r="H94" s="12"/>
      <c r="I94" s="12" t="s">
        <v>42</v>
      </c>
      <c r="J94" s="12" t="s">
        <v>42</v>
      </c>
      <c r="K94" s="11" t="s">
        <v>250</v>
      </c>
      <c r="L94" s="13" t="n">
        <f aca="false">IF(COUNTIFS(Prüfanforderungen!$P$3:$P$181,$W94,Prüfanforderungen!$D$3:$D$181,"Sicherheit-/Normprüfung",Prüfanforderungen!$K$3:$K$181,"&gt;=0")=0,"Preis auf Anfrage",SUMIFS(Prüfanforderungen!$K$3:$K$181,Prüfanforderungen!$P$3:$P$181,$W94,Prüfanforderungen!$D$3:$D$181,"Sicherheit-/Normprüfung"))</f>
        <v>0</v>
      </c>
      <c r="M94" s="11"/>
      <c r="N94" s="11" t="s">
        <v>882</v>
      </c>
      <c r="O94" s="11" t="s">
        <v>207</v>
      </c>
      <c r="P94" s="13" t="n">
        <f aca="false">IF(COUNTIFS(Prüfanforderungen!$P$3:$P$181,$W94,Prüfanforderungen!$D$3:$D$181,"FFU/Fitting",Prüfanforderungen!$K$3:$K$181,"&gt;=0")=0,"Preis auf Anfrage",SUMIFS(Prüfanforderungen!$K$3:$K$181,Prüfanforderungen!$P$3:$P$181,$W94,Prüfanforderungen!$D$3:$D$181,"FFU/Fitting"))</f>
        <v>1350</v>
      </c>
      <c r="Q94" s="11"/>
      <c r="R94" s="11"/>
      <c r="S94" s="13" t="str">
        <f aca="false">IF(COUNTIFS(Prüfanforderungen!$P$3:$P$181,$W94,Prüfanforderungen!$D$3:$D$181,"NGO / StiWa",Prüfanforderungen!$K$3:$K$181,"&gt;=0")=0,"Preis auf Anfrage",SUMIFS(Prüfanforderungen!$K$3:$K$181,Prüfanforderungen!$P$3:$P$181,$W94,Prüfanforderungen!$D$3:$D$181,"NGO / StiWa"))</f>
        <v>Preis auf Anfrage</v>
      </c>
      <c r="T94" s="11"/>
      <c r="U94" s="13"/>
      <c r="V94" s="13" t="n">
        <v>750</v>
      </c>
      <c r="W94" s="11" t="s">
        <v>587</v>
      </c>
    </row>
    <row r="95" customFormat="false" ht="46.25" hidden="false" customHeight="false" outlineLevel="0" collapsed="false">
      <c r="A95" s="11" t="s">
        <v>582</v>
      </c>
      <c r="B95" s="11" t="s">
        <v>583</v>
      </c>
      <c r="C95" s="12" t="s">
        <v>880</v>
      </c>
      <c r="D95" s="11" t="s">
        <v>588</v>
      </c>
      <c r="E95" s="11" t="str">
        <f aca="false">IF(COUNTIFS(Prüfanforderungen!$P$3:$P$181,$W95)=0,"keine Norm hinterlegt",IF($L95=0,"0 € hinterlegt",""))</f>
        <v/>
      </c>
      <c r="F95" s="12" t="s">
        <v>139</v>
      </c>
      <c r="G95" s="12"/>
      <c r="H95" s="12"/>
      <c r="I95" s="12" t="s">
        <v>42</v>
      </c>
      <c r="J95" s="12" t="s">
        <v>42</v>
      </c>
      <c r="K95" s="11" t="s">
        <v>50</v>
      </c>
      <c r="L95" s="13" t="n">
        <f aca="false">IF(COUNTIFS(Prüfanforderungen!$P$3:$P$181,$W95,Prüfanforderungen!$D$3:$D$181,"Sicherheit-/Normprüfung",Prüfanforderungen!$K$3:$K$181,"&gt;=0")=0,"Preis auf Anfrage",SUMIFS(Prüfanforderungen!$K$3:$K$181,Prüfanforderungen!$P$3:$P$181,$W95,Prüfanforderungen!$D$3:$D$181,"Sicherheit-/Normprüfung"))</f>
        <v>540</v>
      </c>
      <c r="M95" s="11"/>
      <c r="N95" s="11" t="s">
        <v>815</v>
      </c>
      <c r="O95" s="11"/>
      <c r="P95" s="13" t="str">
        <f aca="false">IF(COUNTIFS(Prüfanforderungen!$P$3:$P$181,$W95,Prüfanforderungen!$D$3:$D$181,"FFU/Fitting",Prüfanforderungen!$K$3:$K$181,"&gt;=0")=0,"Preis auf Anfrage",SUMIFS(Prüfanforderungen!$K$3:$K$181,Prüfanforderungen!$P$3:$P$181,$W95,Prüfanforderungen!$D$3:$D$181,"FFU/Fitting"))</f>
        <v>Preis auf Anfrage</v>
      </c>
      <c r="Q95" s="11"/>
      <c r="R95" s="11"/>
      <c r="S95" s="13" t="str">
        <f aca="false">IF(COUNTIFS(Prüfanforderungen!$P$3:$P$181,$W95,Prüfanforderungen!$D$3:$D$181,"NGO / StiWa",Prüfanforderungen!$K$3:$K$181,"&gt;=0")=0,"Preis auf Anfrage",SUMIFS(Prüfanforderungen!$K$3:$K$181,Prüfanforderungen!$P$3:$P$181,$W95,Prüfanforderungen!$D$3:$D$181,"NGO / StiWa"))</f>
        <v>Preis auf Anfrage</v>
      </c>
      <c r="T95" s="11"/>
      <c r="U95" s="13"/>
      <c r="V95" s="13"/>
      <c r="W95" s="11" t="s">
        <v>589</v>
      </c>
    </row>
    <row r="96" customFormat="false" ht="46.25" hidden="false" customHeight="false" outlineLevel="0" collapsed="false">
      <c r="A96" s="11" t="s">
        <v>582</v>
      </c>
      <c r="B96" s="11" t="s">
        <v>583</v>
      </c>
      <c r="C96" s="12" t="s">
        <v>880</v>
      </c>
      <c r="D96" s="11" t="s">
        <v>590</v>
      </c>
      <c r="E96" s="11" t="str">
        <f aca="false">IF(COUNTIFS(Prüfanforderungen!$P$3:$P$181,$W96)=0,"keine Norm hinterlegt",IF($L96=0,"0 € hinterlegt",""))</f>
        <v/>
      </c>
      <c r="F96" s="12" t="s">
        <v>139</v>
      </c>
      <c r="G96" s="12"/>
      <c r="H96" s="12"/>
      <c r="I96" s="12" t="s">
        <v>42</v>
      </c>
      <c r="J96" s="12" t="s">
        <v>42</v>
      </c>
      <c r="K96" s="11" t="s">
        <v>50</v>
      </c>
      <c r="L96" s="13" t="n">
        <f aca="false">IF(COUNTIFS(Prüfanforderungen!$P$3:$P$181,$W96,Prüfanforderungen!$D$3:$D$181,"Sicherheit-/Normprüfung",Prüfanforderungen!$K$3:$K$181,"&gt;=0")=0,"Preis auf Anfrage",SUMIFS(Prüfanforderungen!$K$3:$K$181,Prüfanforderungen!$P$3:$P$181,$W96,Prüfanforderungen!$D$3:$D$181,"Sicherheit-/Normprüfung"))</f>
        <v>540</v>
      </c>
      <c r="M96" s="11"/>
      <c r="N96" s="11" t="s">
        <v>815</v>
      </c>
      <c r="O96" s="11"/>
      <c r="P96" s="13" t="str">
        <f aca="false">IF(COUNTIFS(Prüfanforderungen!$P$3:$P$181,$W96,Prüfanforderungen!$D$3:$D$181,"FFU/Fitting",Prüfanforderungen!$K$3:$K$181,"&gt;=0")=0,"Preis auf Anfrage",SUMIFS(Prüfanforderungen!$K$3:$K$181,Prüfanforderungen!$P$3:$P$181,$W96,Prüfanforderungen!$D$3:$D$181,"FFU/Fitting"))</f>
        <v>Preis auf Anfrage</v>
      </c>
      <c r="Q96" s="11"/>
      <c r="R96" s="11"/>
      <c r="S96" s="13" t="str">
        <f aca="false">IF(COUNTIFS(Prüfanforderungen!$P$3:$P$181,$W96,Prüfanforderungen!$D$3:$D$181,"NGO / StiWa",Prüfanforderungen!$K$3:$K$181,"&gt;=0")=0,"Preis auf Anfrage",SUMIFS(Prüfanforderungen!$K$3:$K$181,Prüfanforderungen!$P$3:$P$181,$W96,Prüfanforderungen!$D$3:$D$181,"NGO / StiWa"))</f>
        <v>Preis auf Anfrage</v>
      </c>
      <c r="T96" s="11"/>
      <c r="U96" s="13"/>
      <c r="V96" s="13"/>
      <c r="W96" s="11" t="s">
        <v>591</v>
      </c>
    </row>
    <row r="97" customFormat="false" ht="102.2" hidden="false" customHeight="false" outlineLevel="0" collapsed="false">
      <c r="A97" s="11" t="s">
        <v>582</v>
      </c>
      <c r="B97" s="11" t="s">
        <v>583</v>
      </c>
      <c r="C97" s="12" t="s">
        <v>880</v>
      </c>
      <c r="D97" s="11" t="s">
        <v>592</v>
      </c>
      <c r="E97" s="11" t="str">
        <f aca="false">IF(COUNTIFS(Prüfanforderungen!$P$3:$P$181,$W97)=0,"keine Norm hinterlegt",IF($L97=0,"0 € hinterlegt",""))</f>
        <v>0 € hinterlegt</v>
      </c>
      <c r="F97" s="12" t="s">
        <v>42</v>
      </c>
      <c r="G97" s="12" t="n">
        <v>5</v>
      </c>
      <c r="H97" s="12"/>
      <c r="I97" s="12" t="s">
        <v>42</v>
      </c>
      <c r="J97" s="12" t="s">
        <v>42</v>
      </c>
      <c r="K97" s="11" t="s">
        <v>237</v>
      </c>
      <c r="L97" s="13" t="n">
        <f aca="false">IF(COUNTIFS(Prüfanforderungen!$P$3:$P$181,$W97,Prüfanforderungen!$D$3:$D$181,"Sicherheit-/Normprüfung",Prüfanforderungen!$K$3:$K$181,"&gt;=0")=0,"Preis auf Anfrage",SUMIFS(Prüfanforderungen!$K$3:$K$181,Prüfanforderungen!$P$3:$P$181,$W97,Prüfanforderungen!$D$3:$D$181,"Sicherheit-/Normprüfung"))</f>
        <v>0</v>
      </c>
      <c r="M97" s="11"/>
      <c r="N97" s="11" t="s">
        <v>881</v>
      </c>
      <c r="O97" s="11" t="s">
        <v>209</v>
      </c>
      <c r="P97" s="13" t="n">
        <f aca="false">IF(COUNTIFS(Prüfanforderungen!$P$3:$P$181,$W97,Prüfanforderungen!$D$3:$D$181,"FFU/Fitting",Prüfanforderungen!$K$3:$K$181,"&gt;=0")=0,"Preis auf Anfrage",SUMIFS(Prüfanforderungen!$K$3:$K$181,Prüfanforderungen!$P$3:$P$181,$W97,Prüfanforderungen!$D$3:$D$181,"FFU/Fitting"))</f>
        <v>450</v>
      </c>
      <c r="Q97" s="11"/>
      <c r="R97" s="11"/>
      <c r="S97" s="13" t="str">
        <f aca="false">IF(COUNTIFS(Prüfanforderungen!$P$3:$P$181,$W97,Prüfanforderungen!$D$3:$D$181,"NGO / StiWa",Prüfanforderungen!$K$3:$K$181,"&gt;=0")=0,"Preis auf Anfrage",SUMIFS(Prüfanforderungen!$K$3:$K$181,Prüfanforderungen!$P$3:$P$181,$W97,Prüfanforderungen!$D$3:$D$181,"NGO / StiWa"))</f>
        <v>Preis auf Anfrage</v>
      </c>
      <c r="T97" s="11"/>
      <c r="U97" s="13"/>
      <c r="V97" s="13" t="n">
        <v>1700</v>
      </c>
      <c r="W97" s="11" t="s">
        <v>593</v>
      </c>
    </row>
    <row r="98" customFormat="false" ht="46.25" hidden="false" customHeight="false" outlineLevel="0" collapsed="false">
      <c r="A98" s="11" t="s">
        <v>582</v>
      </c>
      <c r="B98" s="11" t="s">
        <v>583</v>
      </c>
      <c r="C98" s="12" t="s">
        <v>880</v>
      </c>
      <c r="D98" s="11" t="s">
        <v>594</v>
      </c>
      <c r="E98" s="11" t="str">
        <f aca="false">IF(COUNTIFS(Prüfanforderungen!$P$3:$P$181,$W98)=0,"keine Norm hinterlegt",IF($L98=0,"0 € hinterlegt",""))</f>
        <v/>
      </c>
      <c r="F98" s="12" t="s">
        <v>42</v>
      </c>
      <c r="G98" s="12"/>
      <c r="H98" s="12"/>
      <c r="I98" s="12" t="s">
        <v>42</v>
      </c>
      <c r="J98" s="12" t="s">
        <v>42</v>
      </c>
      <c r="K98" s="11" t="s">
        <v>50</v>
      </c>
      <c r="L98" s="13" t="n">
        <f aca="false">IF(COUNTIFS(Prüfanforderungen!$P$3:$P$181,$W98,Prüfanforderungen!$D$3:$D$181,"Sicherheit-/Normprüfung",Prüfanforderungen!$K$3:$K$181,"&gt;=0")=0,"Preis auf Anfrage",SUMIFS(Prüfanforderungen!$K$3:$K$181,Prüfanforderungen!$P$3:$P$181,$W98,Prüfanforderungen!$D$3:$D$181,"Sicherheit-/Normprüfung"))</f>
        <v>720</v>
      </c>
      <c r="M98" s="11"/>
      <c r="N98" s="11" t="s">
        <v>815</v>
      </c>
      <c r="O98" s="11"/>
      <c r="P98" s="13" t="str">
        <f aca="false">IF(COUNTIFS(Prüfanforderungen!$P$3:$P$181,$W98,Prüfanforderungen!$D$3:$D$181,"FFU/Fitting",Prüfanforderungen!$K$3:$K$181,"&gt;=0")=0,"Preis auf Anfrage",SUMIFS(Prüfanforderungen!$K$3:$K$181,Prüfanforderungen!$P$3:$P$181,$W98,Prüfanforderungen!$D$3:$D$181,"FFU/Fitting"))</f>
        <v>Preis auf Anfrage</v>
      </c>
      <c r="Q98" s="11"/>
      <c r="R98" s="11"/>
      <c r="S98" s="13" t="str">
        <f aca="false">IF(COUNTIFS(Prüfanforderungen!$P$3:$P$181,$W98,Prüfanforderungen!$D$3:$D$181,"NGO / StiWa",Prüfanforderungen!$K$3:$K$181,"&gt;=0")=0,"Preis auf Anfrage",SUMIFS(Prüfanforderungen!$K$3:$K$181,Prüfanforderungen!$P$3:$P$181,$W98,Prüfanforderungen!$D$3:$D$181,"NGO / StiWa"))</f>
        <v>Preis auf Anfrage</v>
      </c>
      <c r="T98" s="11"/>
      <c r="U98" s="13"/>
      <c r="V98" s="13"/>
      <c r="W98" s="11" t="s">
        <v>595</v>
      </c>
    </row>
    <row r="99" customFormat="false" ht="35.05" hidden="false" customHeight="false" outlineLevel="0" collapsed="false">
      <c r="A99" s="11" t="s">
        <v>582</v>
      </c>
      <c r="B99" s="11" t="s">
        <v>583</v>
      </c>
      <c r="C99" s="12" t="s">
        <v>880</v>
      </c>
      <c r="D99" s="11" t="s">
        <v>596</v>
      </c>
      <c r="E99" s="11" t="str">
        <f aca="false">IF(COUNTIFS(Prüfanforderungen!$P$3:$P$181,$W99)=0,"keine Norm hinterlegt",IF($L99=0,"0 € hinterlegt",""))</f>
        <v/>
      </c>
      <c r="F99" s="12" t="s">
        <v>139</v>
      </c>
      <c r="G99" s="12"/>
      <c r="H99" s="12"/>
      <c r="I99" s="12" t="s">
        <v>42</v>
      </c>
      <c r="J99" s="12" t="s">
        <v>42</v>
      </c>
      <c r="K99" s="11" t="s">
        <v>50</v>
      </c>
      <c r="L99" s="13" t="n">
        <f aca="false">IF(COUNTIFS(Prüfanforderungen!$P$3:$P$181,$W99,Prüfanforderungen!$D$3:$D$181,"Sicherheit-/Normprüfung",Prüfanforderungen!$K$3:$K$181,"&gt;=0")=0,"Preis auf Anfrage",SUMIFS(Prüfanforderungen!$K$3:$K$181,Prüfanforderungen!$P$3:$P$181,$W99,Prüfanforderungen!$D$3:$D$181,"Sicherheit-/Normprüfung"))</f>
        <v>720</v>
      </c>
      <c r="M99" s="11"/>
      <c r="N99" s="11" t="s">
        <v>815</v>
      </c>
      <c r="O99" s="11"/>
      <c r="P99" s="13" t="str">
        <f aca="false">IF(COUNTIFS(Prüfanforderungen!$P$3:$P$181,$W99,Prüfanforderungen!$D$3:$D$181,"FFU/Fitting",Prüfanforderungen!$K$3:$K$181,"&gt;=0")=0,"Preis auf Anfrage",SUMIFS(Prüfanforderungen!$K$3:$K$181,Prüfanforderungen!$P$3:$P$181,$W99,Prüfanforderungen!$D$3:$D$181,"FFU/Fitting"))</f>
        <v>Preis auf Anfrage</v>
      </c>
      <c r="Q99" s="11"/>
      <c r="R99" s="11"/>
      <c r="S99" s="13" t="str">
        <f aca="false">IF(COUNTIFS(Prüfanforderungen!$P$3:$P$181,$W99,Prüfanforderungen!$D$3:$D$181,"NGO / StiWa",Prüfanforderungen!$K$3:$K$181,"&gt;=0")=0,"Preis auf Anfrage",SUMIFS(Prüfanforderungen!$K$3:$K$181,Prüfanforderungen!$P$3:$P$181,$W99,Prüfanforderungen!$D$3:$D$181,"NGO / StiWa"))</f>
        <v>Preis auf Anfrage</v>
      </c>
      <c r="T99" s="11"/>
      <c r="U99" s="13"/>
      <c r="V99" s="13"/>
      <c r="W99" s="11" t="s">
        <v>597</v>
      </c>
    </row>
    <row r="100" customFormat="false" ht="46.25" hidden="false" customHeight="false" outlineLevel="0" collapsed="false">
      <c r="A100" s="11" t="s">
        <v>582</v>
      </c>
      <c r="B100" s="11" t="s">
        <v>598</v>
      </c>
      <c r="C100" s="12" t="s">
        <v>883</v>
      </c>
      <c r="D100" s="11" t="s">
        <v>599</v>
      </c>
      <c r="E100" s="11" t="str">
        <f aca="false">IF(COUNTIFS(Prüfanforderungen!$P$3:$P$181,$W100)=0,"keine Norm hinterlegt",IF($L100=0,"0 € hinterlegt",""))</f>
        <v>0 € hinterlegt</v>
      </c>
      <c r="F100" s="12" t="s">
        <v>42</v>
      </c>
      <c r="G100" s="12" t="n">
        <v>5</v>
      </c>
      <c r="H100" s="12"/>
      <c r="I100" s="12" t="s">
        <v>42</v>
      </c>
      <c r="J100" s="12" t="s">
        <v>42</v>
      </c>
      <c r="K100" s="11" t="s">
        <v>258</v>
      </c>
      <c r="L100" s="13" t="n">
        <f aca="false">IF(COUNTIFS(Prüfanforderungen!$P$3:$P$181,$W100,Prüfanforderungen!$D$3:$D$181,"Sicherheit-/Normprüfung",Prüfanforderungen!$K$3:$K$181,"&gt;=0")=0,"Preis auf Anfrage",SUMIFS(Prüfanforderungen!$K$3:$K$181,Prüfanforderungen!$P$3:$P$181,$W100,Prüfanforderungen!$D$3:$D$181,"Sicherheit-/Normprüfung"))</f>
        <v>0</v>
      </c>
      <c r="M100" s="11"/>
      <c r="N100" s="11" t="s">
        <v>884</v>
      </c>
      <c r="O100" s="11" t="s">
        <v>291</v>
      </c>
      <c r="P100" s="13" t="n">
        <f aca="false">IF(COUNTIFS(Prüfanforderungen!$P$3:$P$181,$W100,Prüfanforderungen!$D$3:$D$181,"FFU/Fitting",Prüfanforderungen!$K$3:$K$181,"&gt;=0")=0,"Preis auf Anfrage",SUMIFS(Prüfanforderungen!$K$3:$K$181,Prüfanforderungen!$P$3:$P$181,$W100,Prüfanforderungen!$D$3:$D$181,"FFU/Fitting"))</f>
        <v>1350</v>
      </c>
      <c r="Q100" s="11"/>
      <c r="R100" s="11"/>
      <c r="S100" s="13" t="str">
        <f aca="false">IF(COUNTIFS(Prüfanforderungen!$P$3:$P$181,$W100,Prüfanforderungen!$D$3:$D$181,"NGO / StiWa",Prüfanforderungen!$K$3:$K$181,"&gt;=0")=0,"Preis auf Anfrage",SUMIFS(Prüfanforderungen!$K$3:$K$181,Prüfanforderungen!$P$3:$P$181,$W100,Prüfanforderungen!$D$3:$D$181,"NGO / StiWa"))</f>
        <v>Preis auf Anfrage</v>
      </c>
      <c r="T100" s="11"/>
      <c r="U100" s="13"/>
      <c r="V100" s="13" t="n">
        <v>750</v>
      </c>
      <c r="W100" s="11" t="s">
        <v>600</v>
      </c>
    </row>
    <row r="101" customFormat="false" ht="46.25" hidden="false" customHeight="false" outlineLevel="0" collapsed="false">
      <c r="A101" s="11" t="s">
        <v>582</v>
      </c>
      <c r="B101" s="11" t="s">
        <v>598</v>
      </c>
      <c r="C101" s="12" t="s">
        <v>883</v>
      </c>
      <c r="D101" s="11" t="s">
        <v>601</v>
      </c>
      <c r="E101" s="11" t="str">
        <f aca="false">IF(COUNTIFS(Prüfanforderungen!$P$3:$P$181,$W101)=0,"keine Norm hinterlegt",IF($L101=0,"0 € hinterlegt",""))</f>
        <v/>
      </c>
      <c r="F101" s="12" t="s">
        <v>42</v>
      </c>
      <c r="G101" s="12"/>
      <c r="H101" s="12"/>
      <c r="I101" s="12" t="s">
        <v>42</v>
      </c>
      <c r="J101" s="12" t="s">
        <v>42</v>
      </c>
      <c r="K101" s="11" t="s">
        <v>50</v>
      </c>
      <c r="L101" s="13" t="n">
        <f aca="false">IF(COUNTIFS(Prüfanforderungen!$P$3:$P$181,$W101,Prüfanforderungen!$D$3:$D$181,"Sicherheit-/Normprüfung",Prüfanforderungen!$K$3:$K$181,"&gt;=0")=0,"Preis auf Anfrage",SUMIFS(Prüfanforderungen!$K$3:$K$181,Prüfanforderungen!$P$3:$P$181,$W101,Prüfanforderungen!$D$3:$D$181,"Sicherheit-/Normprüfung"))</f>
        <v>540</v>
      </c>
      <c r="M101" s="11"/>
      <c r="N101" s="11" t="s">
        <v>815</v>
      </c>
      <c r="O101" s="11"/>
      <c r="P101" s="13" t="str">
        <f aca="false">IF(COUNTIFS(Prüfanforderungen!$P$3:$P$181,$W101,Prüfanforderungen!$D$3:$D$181,"FFU/Fitting",Prüfanforderungen!$K$3:$K$181,"&gt;=0")=0,"Preis auf Anfrage",SUMIFS(Prüfanforderungen!$K$3:$K$181,Prüfanforderungen!$P$3:$P$181,$W101,Prüfanforderungen!$D$3:$D$181,"FFU/Fitting"))</f>
        <v>Preis auf Anfrage</v>
      </c>
      <c r="Q101" s="11"/>
      <c r="R101" s="11"/>
      <c r="S101" s="13" t="str">
        <f aca="false">IF(COUNTIFS(Prüfanforderungen!$P$3:$P$181,$W101,Prüfanforderungen!$D$3:$D$181,"NGO / StiWa",Prüfanforderungen!$K$3:$K$181,"&gt;=0")=0,"Preis auf Anfrage",SUMIFS(Prüfanforderungen!$K$3:$K$181,Prüfanforderungen!$P$3:$P$181,$W101,Prüfanforderungen!$D$3:$D$181,"NGO / StiWa"))</f>
        <v>Preis auf Anfrage</v>
      </c>
      <c r="T101" s="11"/>
      <c r="U101" s="13"/>
      <c r="V101" s="13"/>
      <c r="W101" s="11" t="s">
        <v>602</v>
      </c>
    </row>
    <row r="102" customFormat="false" ht="91" hidden="false" customHeight="false" outlineLevel="0" collapsed="false">
      <c r="A102" s="11" t="s">
        <v>582</v>
      </c>
      <c r="B102" s="11" t="s">
        <v>598</v>
      </c>
      <c r="C102" s="12" t="s">
        <v>883</v>
      </c>
      <c r="D102" s="11" t="s">
        <v>603</v>
      </c>
      <c r="E102" s="11" t="str">
        <f aca="false">IF(COUNTIFS(Prüfanforderungen!$P$3:$P$181,$W102)=0,"keine Norm hinterlegt",IF($L102=0,"0 € hinterlegt",""))</f>
        <v>0 € hinterlegt</v>
      </c>
      <c r="F102" s="12" t="s">
        <v>42</v>
      </c>
      <c r="G102" s="12" t="n">
        <v>1</v>
      </c>
      <c r="H102" s="12"/>
      <c r="I102" s="12" t="s">
        <v>42</v>
      </c>
      <c r="J102" s="12" t="s">
        <v>42</v>
      </c>
      <c r="K102" s="11" t="s">
        <v>239</v>
      </c>
      <c r="L102" s="13" t="n">
        <f aca="false">IF(COUNTIFS(Prüfanforderungen!$P$3:$P$181,$W102,Prüfanforderungen!$D$3:$D$181,"Sicherheit-/Normprüfung",Prüfanforderungen!$K$3:$K$181,"&gt;=0")=0,"Preis auf Anfrage",SUMIFS(Prüfanforderungen!$K$3:$K$181,Prüfanforderungen!$P$3:$P$181,$W102,Prüfanforderungen!$D$3:$D$181,"Sicherheit-/Normprüfung"))</f>
        <v>0</v>
      </c>
      <c r="M102" s="11"/>
      <c r="N102" s="11" t="s">
        <v>885</v>
      </c>
      <c r="O102" s="11"/>
      <c r="P102" s="13" t="str">
        <f aca="false">IF(COUNTIFS(Prüfanforderungen!$P$3:$P$181,$W102,Prüfanforderungen!$D$3:$D$181,"FFU/Fitting",Prüfanforderungen!$K$3:$K$181,"&gt;=0")=0,"Preis auf Anfrage",SUMIFS(Prüfanforderungen!$K$3:$K$181,Prüfanforderungen!$P$3:$P$181,$W102,Prüfanforderungen!$D$3:$D$181,"FFU/Fitting"))</f>
        <v>Preis auf Anfrage</v>
      </c>
      <c r="Q102" s="11"/>
      <c r="R102" s="11"/>
      <c r="S102" s="13" t="str">
        <f aca="false">IF(COUNTIFS(Prüfanforderungen!$P$3:$P$181,$W102,Prüfanforderungen!$D$3:$D$181,"NGO / StiWa",Prüfanforderungen!$K$3:$K$181,"&gt;=0")=0,"Preis auf Anfrage",SUMIFS(Prüfanforderungen!$K$3:$K$181,Prüfanforderungen!$P$3:$P$181,$W102,Prüfanforderungen!$D$3:$D$181,"NGO / StiWa"))</f>
        <v>Preis auf Anfrage</v>
      </c>
      <c r="T102" s="11"/>
      <c r="U102" s="13"/>
      <c r="V102" s="13" t="n">
        <v>750</v>
      </c>
      <c r="W102" s="11" t="s">
        <v>604</v>
      </c>
    </row>
    <row r="103" customFormat="false" ht="102.2" hidden="false" customHeight="false" outlineLevel="0" collapsed="false">
      <c r="A103" s="11" t="s">
        <v>582</v>
      </c>
      <c r="B103" s="11" t="s">
        <v>605</v>
      </c>
      <c r="C103" s="12" t="s">
        <v>886</v>
      </c>
      <c r="D103" s="11" t="s">
        <v>606</v>
      </c>
      <c r="E103" s="11" t="str">
        <f aca="false">IF(COUNTIFS(Prüfanforderungen!$P$3:$P$181,$W103)=0,"keine Norm hinterlegt",IF($L103=0,"0 € hinterlegt",""))</f>
        <v>0 € hinterlegt</v>
      </c>
      <c r="F103" s="12" t="s">
        <v>42</v>
      </c>
      <c r="G103" s="12" t="n">
        <v>14</v>
      </c>
      <c r="H103" s="12"/>
      <c r="I103" s="12" t="s">
        <v>42</v>
      </c>
      <c r="J103" s="12" t="s">
        <v>42</v>
      </c>
      <c r="K103" s="11" t="s">
        <v>248</v>
      </c>
      <c r="L103" s="13" t="n">
        <f aca="false">IF(COUNTIFS(Prüfanforderungen!$P$3:$P$181,$W103,Prüfanforderungen!$D$3:$D$181,"Sicherheit-/Normprüfung",Prüfanforderungen!$K$3:$K$181,"&gt;=0")=0,"Preis auf Anfrage",SUMIFS(Prüfanforderungen!$K$3:$K$181,Prüfanforderungen!$P$3:$P$181,$W103,Prüfanforderungen!$D$3:$D$181,"Sicherheit-/Normprüfung"))</f>
        <v>0</v>
      </c>
      <c r="M103" s="11"/>
      <c r="N103" s="11" t="s">
        <v>887</v>
      </c>
      <c r="O103" s="11"/>
      <c r="P103" s="13" t="str">
        <f aca="false">IF(COUNTIFS(Prüfanforderungen!$P$3:$P$181,$W103,Prüfanforderungen!$D$3:$D$181,"FFU/Fitting",Prüfanforderungen!$K$3:$K$181,"&gt;=0")=0,"Preis auf Anfrage",SUMIFS(Prüfanforderungen!$K$3:$K$181,Prüfanforderungen!$P$3:$P$181,$W103,Prüfanforderungen!$D$3:$D$181,"FFU/Fitting"))</f>
        <v>Preis auf Anfrage</v>
      </c>
      <c r="Q103" s="11"/>
      <c r="R103" s="11" t="s">
        <v>272</v>
      </c>
      <c r="S103" s="13" t="n">
        <f aca="false">IF(COUNTIFS(Prüfanforderungen!$P$3:$P$181,$W103,Prüfanforderungen!$D$3:$D$181,"NGO / StiWa",Prüfanforderungen!$K$3:$K$181,"&gt;=0")=0,"Preis auf Anfrage",SUMIFS(Prüfanforderungen!$K$3:$K$181,Prüfanforderungen!$P$3:$P$181,$W103,Prüfanforderungen!$D$3:$D$181,"NGO / StiWa"))</f>
        <v>9000</v>
      </c>
      <c r="T103" s="11"/>
      <c r="U103" s="13"/>
      <c r="V103" s="13" t="n">
        <v>1700</v>
      </c>
      <c r="W103" s="11" t="s">
        <v>607</v>
      </c>
    </row>
    <row r="104" customFormat="false" ht="102.2" hidden="false" customHeight="false" outlineLevel="0" collapsed="false">
      <c r="A104" s="11" t="s">
        <v>582</v>
      </c>
      <c r="B104" s="11" t="s">
        <v>605</v>
      </c>
      <c r="C104" s="12" t="s">
        <v>886</v>
      </c>
      <c r="D104" s="11" t="s">
        <v>608</v>
      </c>
      <c r="E104" s="11" t="str">
        <f aca="false">IF(COUNTIFS(Prüfanforderungen!$P$3:$P$181,$W104)=0,"keine Norm hinterlegt",IF($L104=0,"0 € hinterlegt",""))</f>
        <v>0 € hinterlegt</v>
      </c>
      <c r="F104" s="12" t="s">
        <v>42</v>
      </c>
      <c r="G104" s="12" t="n">
        <v>14</v>
      </c>
      <c r="H104" s="12"/>
      <c r="I104" s="12" t="s">
        <v>42</v>
      </c>
      <c r="J104" s="12" t="s">
        <v>42</v>
      </c>
      <c r="K104" s="11" t="s">
        <v>226</v>
      </c>
      <c r="L104" s="13" t="n">
        <f aca="false">IF(COUNTIFS(Prüfanforderungen!$P$3:$P$181,$W104,Prüfanforderungen!$D$3:$D$181,"Sicherheit-/Normprüfung",Prüfanforderungen!$K$3:$K$181,"&gt;=0")=0,"Preis auf Anfrage",SUMIFS(Prüfanforderungen!$K$3:$K$181,Prüfanforderungen!$P$3:$P$181,$W104,Prüfanforderungen!$D$3:$D$181,"Sicherheit-/Normprüfung"))</f>
        <v>0</v>
      </c>
      <c r="M104" s="11"/>
      <c r="N104" s="11" t="s">
        <v>888</v>
      </c>
      <c r="O104" s="11"/>
      <c r="P104" s="13" t="str">
        <f aca="false">IF(COUNTIFS(Prüfanforderungen!$P$3:$P$181,$W104,Prüfanforderungen!$D$3:$D$181,"FFU/Fitting",Prüfanforderungen!$K$3:$K$181,"&gt;=0")=0,"Preis auf Anfrage",SUMIFS(Prüfanforderungen!$K$3:$K$181,Prüfanforderungen!$P$3:$P$181,$W104,Prüfanforderungen!$D$3:$D$181,"FFU/Fitting"))</f>
        <v>Preis auf Anfrage</v>
      </c>
      <c r="Q104" s="11"/>
      <c r="R104" s="11"/>
      <c r="S104" s="13" t="str">
        <f aca="false">IF(COUNTIFS(Prüfanforderungen!$P$3:$P$181,$W104,Prüfanforderungen!$D$3:$D$181,"NGO / StiWa",Prüfanforderungen!$K$3:$K$181,"&gt;=0")=0,"Preis auf Anfrage",SUMIFS(Prüfanforderungen!$K$3:$K$181,Prüfanforderungen!$P$3:$P$181,$W104,Prüfanforderungen!$D$3:$D$181,"NGO / StiWa"))</f>
        <v>Preis auf Anfrage</v>
      </c>
      <c r="T104" s="11"/>
      <c r="U104" s="13"/>
      <c r="V104" s="13" t="n">
        <v>1700</v>
      </c>
      <c r="W104" s="11" t="s">
        <v>609</v>
      </c>
    </row>
    <row r="105" customFormat="false" ht="35.05" hidden="false" customHeight="false" outlineLevel="0" collapsed="false">
      <c r="A105" s="11" t="s">
        <v>610</v>
      </c>
      <c r="B105" s="11" t="s">
        <v>611</v>
      </c>
      <c r="C105" s="12" t="s">
        <v>889</v>
      </c>
      <c r="D105" s="11" t="s">
        <v>612</v>
      </c>
      <c r="E105" s="11" t="str">
        <f aca="false">IF(COUNTIFS(Prüfanforderungen!$P$3:$P$181,$W105)=0,"keine Norm hinterlegt",IF($L105=0,"0 € hinterlegt",""))</f>
        <v/>
      </c>
      <c r="F105" s="12" t="s">
        <v>42</v>
      </c>
      <c r="G105" s="12" t="n">
        <v>4</v>
      </c>
      <c r="H105" s="12"/>
      <c r="I105" s="12" t="s">
        <v>42</v>
      </c>
      <c r="J105" s="12" t="s">
        <v>42</v>
      </c>
      <c r="K105" s="11" t="s">
        <v>114</v>
      </c>
      <c r="L105" s="13" t="n">
        <f aca="false">IF(COUNTIFS(Prüfanforderungen!$P$3:$P$181,$W105,Prüfanforderungen!$D$3:$D$181,"Sicherheit-/Normprüfung",Prüfanforderungen!$K$3:$K$181,"&gt;=0")=0,"Preis auf Anfrage",SUMIFS(Prüfanforderungen!$K$3:$K$181,Prüfanforderungen!$P$3:$P$181,$W105,Prüfanforderungen!$D$3:$D$181,"Sicherheit-/Normprüfung"))</f>
        <v>1690</v>
      </c>
      <c r="M105" s="11"/>
      <c r="N105" s="11"/>
      <c r="O105" s="11"/>
      <c r="P105" s="13" t="str">
        <f aca="false">IF(COUNTIFS(Prüfanforderungen!$P$3:$P$181,$W105,Prüfanforderungen!$D$3:$D$181,"FFU/Fitting",Prüfanforderungen!$K$3:$K$181,"&gt;=0")=0,"Preis auf Anfrage",SUMIFS(Prüfanforderungen!$K$3:$K$181,Prüfanforderungen!$P$3:$P$181,$W105,Prüfanforderungen!$D$3:$D$181,"FFU/Fitting"))</f>
        <v>Preis auf Anfrage</v>
      </c>
      <c r="Q105" s="11"/>
      <c r="R105" s="11"/>
      <c r="S105" s="13" t="str">
        <f aca="false">IF(COUNTIFS(Prüfanforderungen!$P$3:$P$181,$W105,Prüfanforderungen!$D$3:$D$181,"NGO / StiWa",Prüfanforderungen!$K$3:$K$181,"&gt;=0")=0,"Preis auf Anfrage",SUMIFS(Prüfanforderungen!$K$3:$K$181,Prüfanforderungen!$P$3:$P$181,$W105,Prüfanforderungen!$D$3:$D$181,"NGO / StiWa"))</f>
        <v>Preis auf Anfrage</v>
      </c>
      <c r="T105" s="11"/>
      <c r="U105" s="13" t="n">
        <v>850</v>
      </c>
      <c r="V105" s="13"/>
      <c r="W105" s="11" t="s">
        <v>613</v>
      </c>
    </row>
    <row r="106" customFormat="false" ht="46.25" hidden="false" customHeight="false" outlineLevel="0" collapsed="false">
      <c r="A106" s="11" t="s">
        <v>610</v>
      </c>
      <c r="B106" s="11" t="s">
        <v>614</v>
      </c>
      <c r="C106" s="12" t="s">
        <v>890</v>
      </c>
      <c r="D106" s="11" t="s">
        <v>615</v>
      </c>
      <c r="E106" s="11" t="str">
        <f aca="false">IF(COUNTIFS(Prüfanforderungen!$P$3:$P$181,$W106)=0,"keine Norm hinterlegt",IF($L106=0,"0 € hinterlegt",""))</f>
        <v>0 € hinterlegt</v>
      </c>
      <c r="F106" s="12" t="s">
        <v>42</v>
      </c>
      <c r="G106" s="12" t="n">
        <v>6</v>
      </c>
      <c r="H106" s="12"/>
      <c r="I106" s="12" t="s">
        <v>42</v>
      </c>
      <c r="J106" s="12" t="s">
        <v>42</v>
      </c>
      <c r="K106" s="11" t="s">
        <v>280</v>
      </c>
      <c r="L106" s="13" t="n">
        <f aca="false">IF(COUNTIFS(Prüfanforderungen!$P$3:$P$181,$W106,Prüfanforderungen!$D$3:$D$181,"Sicherheit-/Normprüfung",Prüfanforderungen!$K$3:$K$181,"&gt;=0")=0,"Preis auf Anfrage",SUMIFS(Prüfanforderungen!$K$3:$K$181,Prüfanforderungen!$P$3:$P$181,$W106,Prüfanforderungen!$D$3:$D$181,"Sicherheit-/Normprüfung"))</f>
        <v>0</v>
      </c>
      <c r="M106" s="11"/>
      <c r="N106" s="11"/>
      <c r="O106" s="11"/>
      <c r="P106" s="13" t="str">
        <f aca="false">IF(COUNTIFS(Prüfanforderungen!$P$3:$P$181,$W106,Prüfanforderungen!$D$3:$D$181,"FFU/Fitting",Prüfanforderungen!$K$3:$K$181,"&gt;=0")=0,"Preis auf Anfrage",SUMIFS(Prüfanforderungen!$K$3:$K$181,Prüfanforderungen!$P$3:$P$181,$W106,Prüfanforderungen!$D$3:$D$181,"FFU/Fitting"))</f>
        <v>Preis auf Anfrage</v>
      </c>
      <c r="Q106" s="11"/>
      <c r="R106" s="11"/>
      <c r="S106" s="13" t="str">
        <f aca="false">IF(COUNTIFS(Prüfanforderungen!$P$3:$P$181,$W106,Prüfanforderungen!$D$3:$D$181,"NGO / StiWa",Prüfanforderungen!$K$3:$K$181,"&gt;=0")=0,"Preis auf Anfrage",SUMIFS(Prüfanforderungen!$K$3:$K$181,Prüfanforderungen!$P$3:$P$181,$W106,Prüfanforderungen!$D$3:$D$181,"NGO / StiWa"))</f>
        <v>Preis auf Anfrage</v>
      </c>
      <c r="T106" s="11"/>
      <c r="U106" s="13" t="n">
        <v>500</v>
      </c>
      <c r="V106" s="13" t="n">
        <v>960</v>
      </c>
      <c r="W106" s="11" t="s">
        <v>616</v>
      </c>
    </row>
    <row r="107" customFormat="false" ht="46.25" hidden="false" customHeight="false" outlineLevel="0" collapsed="false">
      <c r="A107" s="11" t="s">
        <v>610</v>
      </c>
      <c r="B107" s="11" t="s">
        <v>614</v>
      </c>
      <c r="C107" s="12" t="s">
        <v>890</v>
      </c>
      <c r="D107" s="11" t="s">
        <v>617</v>
      </c>
      <c r="E107" s="11" t="str">
        <f aca="false">IF(COUNTIFS(Prüfanforderungen!$P$3:$P$181,$W107)=0,"keine Norm hinterlegt",IF($L107=0,"0 € hinterlegt",""))</f>
        <v/>
      </c>
      <c r="F107" s="12" t="s">
        <v>42</v>
      </c>
      <c r="G107" s="12"/>
      <c r="H107" s="12"/>
      <c r="I107" s="12" t="s">
        <v>42</v>
      </c>
      <c r="J107" s="12" t="s">
        <v>42</v>
      </c>
      <c r="K107" s="11" t="s">
        <v>114</v>
      </c>
      <c r="L107" s="13" t="n">
        <f aca="false">IF(COUNTIFS(Prüfanforderungen!$P$3:$P$181,$W107,Prüfanforderungen!$D$3:$D$181,"Sicherheit-/Normprüfung",Prüfanforderungen!$K$3:$K$181,"&gt;=0")=0,"Preis auf Anfrage",SUMIFS(Prüfanforderungen!$K$3:$K$181,Prüfanforderungen!$P$3:$P$181,$W107,Prüfanforderungen!$D$3:$D$181,"Sicherheit-/Normprüfung"))</f>
        <v>1690</v>
      </c>
      <c r="M107" s="11"/>
      <c r="N107" s="11"/>
      <c r="O107" s="11"/>
      <c r="P107" s="13" t="str">
        <f aca="false">IF(COUNTIFS(Prüfanforderungen!$P$3:$P$181,$W107,Prüfanforderungen!$D$3:$D$181,"FFU/Fitting",Prüfanforderungen!$K$3:$K$181,"&gt;=0")=0,"Preis auf Anfrage",SUMIFS(Prüfanforderungen!$K$3:$K$181,Prüfanforderungen!$P$3:$P$181,$W107,Prüfanforderungen!$D$3:$D$181,"FFU/Fitting"))</f>
        <v>Preis auf Anfrage</v>
      </c>
      <c r="Q107" s="11"/>
      <c r="R107" s="11"/>
      <c r="S107" s="13" t="str">
        <f aca="false">IF(COUNTIFS(Prüfanforderungen!$P$3:$P$181,$W107,Prüfanforderungen!$D$3:$D$181,"NGO / StiWa",Prüfanforderungen!$K$3:$K$181,"&gt;=0")=0,"Preis auf Anfrage",SUMIFS(Prüfanforderungen!$K$3:$K$181,Prüfanforderungen!$P$3:$P$181,$W107,Prüfanforderungen!$D$3:$D$181,"NGO / StiWa"))</f>
        <v>Preis auf Anfrage</v>
      </c>
      <c r="T107" s="11"/>
      <c r="U107" s="13"/>
      <c r="V107" s="13"/>
      <c r="W107" s="11" t="s">
        <v>618</v>
      </c>
    </row>
    <row r="108" customFormat="false" ht="46.25" hidden="false" customHeight="false" outlineLevel="0" collapsed="false">
      <c r="A108" s="11" t="s">
        <v>610</v>
      </c>
      <c r="B108" s="11" t="s">
        <v>614</v>
      </c>
      <c r="C108" s="12" t="s">
        <v>890</v>
      </c>
      <c r="D108" s="11" t="s">
        <v>619</v>
      </c>
      <c r="E108" s="11" t="str">
        <f aca="false">IF(COUNTIFS(Prüfanforderungen!$P$3:$P$181,$W108)=0,"keine Norm hinterlegt",IF($L108=0,"0 € hinterlegt",""))</f>
        <v/>
      </c>
      <c r="F108" s="12" t="s">
        <v>42</v>
      </c>
      <c r="G108" s="12"/>
      <c r="H108" s="12"/>
      <c r="I108" s="12" t="s">
        <v>42</v>
      </c>
      <c r="J108" s="12" t="s">
        <v>42</v>
      </c>
      <c r="K108" s="11" t="s">
        <v>280</v>
      </c>
      <c r="L108" s="13" t="str">
        <f aca="false">IF(COUNTIFS(Prüfanforderungen!$P$3:$P$181,$W108,Prüfanforderungen!$D$3:$D$181,"Sicherheit-/Normprüfung",Prüfanforderungen!$K$3:$K$181,"&gt;=0")=0,"Preis auf Anfrage",SUMIFS(Prüfanforderungen!$K$3:$K$181,Prüfanforderungen!$P$3:$P$181,$W108,Prüfanforderungen!$D$3:$D$181,"Sicherheit-/Normprüfung"))</f>
        <v>Preis auf Anfrage</v>
      </c>
      <c r="M108" s="11"/>
      <c r="N108" s="11"/>
      <c r="O108" s="11"/>
      <c r="P108" s="13" t="str">
        <f aca="false">IF(COUNTIFS(Prüfanforderungen!$P$3:$P$181,$W108,Prüfanforderungen!$D$3:$D$181,"FFU/Fitting",Prüfanforderungen!$K$3:$K$181,"&gt;=0")=0,"Preis auf Anfrage",SUMIFS(Prüfanforderungen!$K$3:$K$181,Prüfanforderungen!$P$3:$P$181,$W108,Prüfanforderungen!$D$3:$D$181,"FFU/Fitting"))</f>
        <v>Preis auf Anfrage</v>
      </c>
      <c r="Q108" s="11"/>
      <c r="R108" s="11"/>
      <c r="S108" s="13" t="str">
        <f aca="false">IF(COUNTIFS(Prüfanforderungen!$P$3:$P$181,$W108,Prüfanforderungen!$D$3:$D$181,"NGO / StiWa",Prüfanforderungen!$K$3:$K$181,"&gt;=0")=0,"Preis auf Anfrage",SUMIFS(Prüfanforderungen!$K$3:$K$181,Prüfanforderungen!$P$3:$P$181,$W108,Prüfanforderungen!$D$3:$D$181,"NGO / StiWa"))</f>
        <v>Preis auf Anfrage</v>
      </c>
      <c r="T108" s="11"/>
      <c r="U108" s="13" t="n">
        <v>500</v>
      </c>
      <c r="V108" s="13"/>
      <c r="W108" s="11" t="s">
        <v>620</v>
      </c>
    </row>
    <row r="109" customFormat="false" ht="46.25" hidden="false" customHeight="false" outlineLevel="0" collapsed="false">
      <c r="A109" s="11" t="s">
        <v>610</v>
      </c>
      <c r="B109" s="11" t="s">
        <v>621</v>
      </c>
      <c r="C109" s="12" t="s">
        <v>891</v>
      </c>
      <c r="D109" s="11" t="s">
        <v>622</v>
      </c>
      <c r="E109" s="11" t="str">
        <f aca="false">IF(COUNTIFS(Prüfanforderungen!$P$3:$P$181,$W109)=0,"keine Norm hinterlegt",IF($L109=0,"0 € hinterlegt",""))</f>
        <v/>
      </c>
      <c r="F109" s="12" t="s">
        <v>139</v>
      </c>
      <c r="G109" s="12"/>
      <c r="H109" s="12"/>
      <c r="I109" s="12" t="s">
        <v>42</v>
      </c>
      <c r="J109" s="12" t="s">
        <v>42</v>
      </c>
      <c r="K109" s="11" t="s">
        <v>50</v>
      </c>
      <c r="L109" s="13" t="n">
        <f aca="false">IF(COUNTIFS(Prüfanforderungen!$P$3:$P$181,$W109,Prüfanforderungen!$D$3:$D$181,"Sicherheit-/Normprüfung",Prüfanforderungen!$K$3:$K$181,"&gt;=0")=0,"Preis auf Anfrage",SUMIFS(Prüfanforderungen!$K$3:$K$181,Prüfanforderungen!$P$3:$P$181,$W109,Prüfanforderungen!$D$3:$D$181,"Sicherheit-/Normprüfung"))</f>
        <v>540</v>
      </c>
      <c r="M109" s="11"/>
      <c r="N109" s="11" t="s">
        <v>815</v>
      </c>
      <c r="O109" s="11"/>
      <c r="P109" s="13" t="str">
        <f aca="false">IF(COUNTIFS(Prüfanforderungen!$P$3:$P$181,$W109,Prüfanforderungen!$D$3:$D$181,"FFU/Fitting",Prüfanforderungen!$K$3:$K$181,"&gt;=0")=0,"Preis auf Anfrage",SUMIFS(Prüfanforderungen!$K$3:$K$181,Prüfanforderungen!$P$3:$P$181,$W109,Prüfanforderungen!$D$3:$D$181,"FFU/Fitting"))</f>
        <v>Preis auf Anfrage</v>
      </c>
      <c r="Q109" s="11"/>
      <c r="R109" s="11"/>
      <c r="S109" s="13" t="str">
        <f aca="false">IF(COUNTIFS(Prüfanforderungen!$P$3:$P$181,$W109,Prüfanforderungen!$D$3:$D$181,"NGO / StiWa",Prüfanforderungen!$K$3:$K$181,"&gt;=0")=0,"Preis auf Anfrage",SUMIFS(Prüfanforderungen!$K$3:$K$181,Prüfanforderungen!$P$3:$P$181,$W109,Prüfanforderungen!$D$3:$D$181,"NGO / StiWa"))</f>
        <v>Preis auf Anfrage</v>
      </c>
      <c r="T109" s="11"/>
      <c r="U109" s="13"/>
      <c r="V109" s="13"/>
      <c r="W109" s="11" t="s">
        <v>623</v>
      </c>
    </row>
    <row r="110" customFormat="false" ht="46.25" hidden="false" customHeight="false" outlineLevel="0" collapsed="false">
      <c r="A110" s="11" t="s">
        <v>610</v>
      </c>
      <c r="B110" s="11" t="s">
        <v>621</v>
      </c>
      <c r="C110" s="12" t="s">
        <v>891</v>
      </c>
      <c r="D110" s="11" t="s">
        <v>624</v>
      </c>
      <c r="E110" s="11" t="str">
        <f aca="false">IF(COUNTIFS(Prüfanforderungen!$P$3:$P$181,$W110)=0,"keine Norm hinterlegt",IF($L110=0,"0 € hinterlegt",""))</f>
        <v/>
      </c>
      <c r="F110" s="12" t="s">
        <v>139</v>
      </c>
      <c r="G110" s="12"/>
      <c r="H110" s="12"/>
      <c r="I110" s="12" t="s">
        <v>42</v>
      </c>
      <c r="J110" s="12" t="s">
        <v>42</v>
      </c>
      <c r="K110" s="11" t="s">
        <v>50</v>
      </c>
      <c r="L110" s="13" t="n">
        <f aca="false">IF(COUNTIFS(Prüfanforderungen!$P$3:$P$181,$W110,Prüfanforderungen!$D$3:$D$181,"Sicherheit-/Normprüfung",Prüfanforderungen!$K$3:$K$181,"&gt;=0")=0,"Preis auf Anfrage",SUMIFS(Prüfanforderungen!$K$3:$K$181,Prüfanforderungen!$P$3:$P$181,$W110,Prüfanforderungen!$D$3:$D$181,"Sicherheit-/Normprüfung"))</f>
        <v>1080</v>
      </c>
      <c r="M110" s="11"/>
      <c r="N110" s="11" t="s">
        <v>815</v>
      </c>
      <c r="O110" s="11"/>
      <c r="P110" s="13" t="str">
        <f aca="false">IF(COUNTIFS(Prüfanforderungen!$P$3:$P$181,$W110,Prüfanforderungen!$D$3:$D$181,"FFU/Fitting",Prüfanforderungen!$K$3:$K$181,"&gt;=0")=0,"Preis auf Anfrage",SUMIFS(Prüfanforderungen!$K$3:$K$181,Prüfanforderungen!$P$3:$P$181,$W110,Prüfanforderungen!$D$3:$D$181,"FFU/Fitting"))</f>
        <v>Preis auf Anfrage</v>
      </c>
      <c r="Q110" s="11"/>
      <c r="R110" s="11"/>
      <c r="S110" s="13" t="str">
        <f aca="false">IF(COUNTIFS(Prüfanforderungen!$P$3:$P$181,$W110,Prüfanforderungen!$D$3:$D$181,"NGO / StiWa",Prüfanforderungen!$K$3:$K$181,"&gt;=0")=0,"Preis auf Anfrage",SUMIFS(Prüfanforderungen!$K$3:$K$181,Prüfanforderungen!$P$3:$P$181,$W110,Prüfanforderungen!$D$3:$D$181,"NGO / StiWa"))</f>
        <v>Preis auf Anfrage</v>
      </c>
      <c r="T110" s="11"/>
      <c r="U110" s="13"/>
      <c r="V110" s="13"/>
      <c r="W110" s="11" t="s">
        <v>625</v>
      </c>
    </row>
    <row r="111" customFormat="false" ht="46.25" hidden="false" customHeight="false" outlineLevel="0" collapsed="false">
      <c r="A111" s="11" t="s">
        <v>610</v>
      </c>
      <c r="B111" s="11" t="s">
        <v>626</v>
      </c>
      <c r="C111" s="12" t="s">
        <v>892</v>
      </c>
      <c r="D111" s="11" t="s">
        <v>627</v>
      </c>
      <c r="E111" s="11" t="str">
        <f aca="false">IF(COUNTIFS(Prüfanforderungen!$P$3:$P$181,$W111)=0,"keine Norm hinterlegt",IF($L111=0,"0 € hinterlegt",""))</f>
        <v/>
      </c>
      <c r="F111" s="12" t="s">
        <v>139</v>
      </c>
      <c r="G111" s="12"/>
      <c r="H111" s="12"/>
      <c r="I111" s="12" t="s">
        <v>42</v>
      </c>
      <c r="J111" s="12" t="s">
        <v>42</v>
      </c>
      <c r="K111" s="11" t="s">
        <v>50</v>
      </c>
      <c r="L111" s="13" t="n">
        <f aca="false">IF(COUNTIFS(Prüfanforderungen!$P$3:$P$181,$W111,Prüfanforderungen!$D$3:$D$181,"Sicherheit-/Normprüfung",Prüfanforderungen!$K$3:$K$181,"&gt;=0")=0,"Preis auf Anfrage",SUMIFS(Prüfanforderungen!$K$3:$K$181,Prüfanforderungen!$P$3:$P$181,$W111,Prüfanforderungen!$D$3:$D$181,"Sicherheit-/Normprüfung"))</f>
        <v>1450</v>
      </c>
      <c r="M111" s="11"/>
      <c r="N111" s="11" t="s">
        <v>815</v>
      </c>
      <c r="O111" s="11"/>
      <c r="P111" s="13" t="str">
        <f aca="false">IF(COUNTIFS(Prüfanforderungen!$P$3:$P$181,$W111,Prüfanforderungen!$D$3:$D$181,"FFU/Fitting",Prüfanforderungen!$K$3:$K$181,"&gt;=0")=0,"Preis auf Anfrage",SUMIFS(Prüfanforderungen!$K$3:$K$181,Prüfanforderungen!$P$3:$P$181,$W111,Prüfanforderungen!$D$3:$D$181,"FFU/Fitting"))</f>
        <v>Preis auf Anfrage</v>
      </c>
      <c r="Q111" s="11"/>
      <c r="R111" s="11"/>
      <c r="S111" s="13" t="str">
        <f aca="false">IF(COUNTIFS(Prüfanforderungen!$P$3:$P$181,$W111,Prüfanforderungen!$D$3:$D$181,"NGO / StiWa",Prüfanforderungen!$K$3:$K$181,"&gt;=0")=0,"Preis auf Anfrage",SUMIFS(Prüfanforderungen!$K$3:$K$181,Prüfanforderungen!$P$3:$P$181,$W111,Prüfanforderungen!$D$3:$D$181,"NGO / StiWa"))</f>
        <v>Preis auf Anfrage</v>
      </c>
      <c r="T111" s="11"/>
      <c r="U111" s="13"/>
      <c r="V111" s="13"/>
      <c r="W111" s="11" t="s">
        <v>628</v>
      </c>
    </row>
    <row r="112" customFormat="false" ht="46.25" hidden="false" customHeight="false" outlineLevel="0" collapsed="false">
      <c r="A112" s="11" t="s">
        <v>610</v>
      </c>
      <c r="B112" s="11" t="s">
        <v>629</v>
      </c>
      <c r="C112" s="12" t="s">
        <v>893</v>
      </c>
      <c r="D112" s="11" t="s">
        <v>630</v>
      </c>
      <c r="E112" s="11" t="str">
        <f aca="false">IF(COUNTIFS(Prüfanforderungen!$P$3:$P$181,$W112)=0,"keine Norm hinterlegt",IF($L112=0,"0 € hinterlegt",""))</f>
        <v/>
      </c>
      <c r="F112" s="12" t="s">
        <v>42</v>
      </c>
      <c r="G112" s="12"/>
      <c r="H112" s="12"/>
      <c r="I112" s="12" t="s">
        <v>42</v>
      </c>
      <c r="J112" s="12" t="s">
        <v>42</v>
      </c>
      <c r="K112" s="11" t="s">
        <v>106</v>
      </c>
      <c r="L112" s="13" t="n">
        <f aca="false">IF(COUNTIFS(Prüfanforderungen!$P$3:$P$181,$W112,Prüfanforderungen!$D$3:$D$181,"Sicherheit-/Normprüfung",Prüfanforderungen!$K$3:$K$181,"&gt;=0")=0,"Preis auf Anfrage",SUMIFS(Prüfanforderungen!$K$3:$K$181,Prüfanforderungen!$P$3:$P$181,$W112,Prüfanforderungen!$D$3:$D$181,"Sicherheit-/Normprüfung"))</f>
        <v>1690</v>
      </c>
      <c r="M112" s="11"/>
      <c r="N112" s="11"/>
      <c r="O112" s="11"/>
      <c r="P112" s="13" t="str">
        <f aca="false">IF(COUNTIFS(Prüfanforderungen!$P$3:$P$181,$W112,Prüfanforderungen!$D$3:$D$181,"FFU/Fitting",Prüfanforderungen!$K$3:$K$181,"&gt;=0")=0,"Preis auf Anfrage",SUMIFS(Prüfanforderungen!$K$3:$K$181,Prüfanforderungen!$P$3:$P$181,$W112,Prüfanforderungen!$D$3:$D$181,"FFU/Fitting"))</f>
        <v>Preis auf Anfrage</v>
      </c>
      <c r="Q112" s="11"/>
      <c r="R112" s="11"/>
      <c r="S112" s="13" t="str">
        <f aca="false">IF(COUNTIFS(Prüfanforderungen!$P$3:$P$181,$W112,Prüfanforderungen!$D$3:$D$181,"NGO / StiWa",Prüfanforderungen!$K$3:$K$181,"&gt;=0")=0,"Preis auf Anfrage",SUMIFS(Prüfanforderungen!$K$3:$K$181,Prüfanforderungen!$P$3:$P$181,$W112,Prüfanforderungen!$D$3:$D$181,"NGO / StiWa"))</f>
        <v>Preis auf Anfrage</v>
      </c>
      <c r="T112" s="11"/>
      <c r="U112" s="13" t="n">
        <v>950</v>
      </c>
      <c r="V112" s="13"/>
      <c r="W112" s="11" t="s">
        <v>631</v>
      </c>
    </row>
    <row r="113" customFormat="false" ht="46.25" hidden="false" customHeight="false" outlineLevel="0" collapsed="false">
      <c r="A113" s="11" t="s">
        <v>610</v>
      </c>
      <c r="B113" s="11" t="s">
        <v>629</v>
      </c>
      <c r="C113" s="12" t="s">
        <v>893</v>
      </c>
      <c r="D113" s="11" t="s">
        <v>632</v>
      </c>
      <c r="E113" s="11" t="str">
        <f aca="false">IF(COUNTIFS(Prüfanforderungen!$P$3:$P$181,$W113)=0,"keine Norm hinterlegt",IF($L113=0,"0 € hinterlegt",""))</f>
        <v/>
      </c>
      <c r="F113" s="12" t="s">
        <v>139</v>
      </c>
      <c r="G113" s="12"/>
      <c r="H113" s="12"/>
      <c r="I113" s="12" t="s">
        <v>42</v>
      </c>
      <c r="J113" s="12" t="s">
        <v>42</v>
      </c>
      <c r="K113" s="11" t="s">
        <v>50</v>
      </c>
      <c r="L113" s="13" t="str">
        <f aca="false">IF(COUNTIFS(Prüfanforderungen!$P$3:$P$181,$W113,Prüfanforderungen!$D$3:$D$181,"Sicherheit-/Normprüfung",Prüfanforderungen!$K$3:$K$181,"&gt;=0")=0,"Preis auf Anfrage",SUMIFS(Prüfanforderungen!$K$3:$K$181,Prüfanforderungen!$P$3:$P$181,$W113,Prüfanforderungen!$D$3:$D$181,"Sicherheit-/Normprüfung"))</f>
        <v>Preis auf Anfrage</v>
      </c>
      <c r="M113" s="11"/>
      <c r="N113" s="11" t="s">
        <v>815</v>
      </c>
      <c r="O113" s="11"/>
      <c r="P113" s="13" t="str">
        <f aca="false">IF(COUNTIFS(Prüfanforderungen!$P$3:$P$181,$W113,Prüfanforderungen!$D$3:$D$181,"FFU/Fitting",Prüfanforderungen!$K$3:$K$181,"&gt;=0")=0,"Preis auf Anfrage",SUMIFS(Prüfanforderungen!$K$3:$K$181,Prüfanforderungen!$P$3:$P$181,$W113,Prüfanforderungen!$D$3:$D$181,"FFU/Fitting"))</f>
        <v>Preis auf Anfrage</v>
      </c>
      <c r="Q113" s="11"/>
      <c r="R113" s="11"/>
      <c r="S113" s="13" t="str">
        <f aca="false">IF(COUNTIFS(Prüfanforderungen!$P$3:$P$181,$W113,Prüfanforderungen!$D$3:$D$181,"NGO / StiWa",Prüfanforderungen!$K$3:$K$181,"&gt;=0")=0,"Preis auf Anfrage",SUMIFS(Prüfanforderungen!$K$3:$K$181,Prüfanforderungen!$P$3:$P$181,$W113,Prüfanforderungen!$D$3:$D$181,"NGO / StiWa"))</f>
        <v>Preis auf Anfrage</v>
      </c>
      <c r="T113" s="11"/>
      <c r="U113" s="13"/>
      <c r="V113" s="13"/>
      <c r="W113" s="11" t="s">
        <v>633</v>
      </c>
    </row>
    <row r="114" customFormat="false" ht="46.25" hidden="false" customHeight="false" outlineLevel="0" collapsed="false">
      <c r="A114" s="11" t="s">
        <v>610</v>
      </c>
      <c r="B114" s="11" t="s">
        <v>634</v>
      </c>
      <c r="C114" s="12" t="s">
        <v>894</v>
      </c>
      <c r="D114" s="11" t="s">
        <v>635</v>
      </c>
      <c r="E114" s="11" t="str">
        <f aca="false">IF(COUNTIFS(Prüfanforderungen!$P$3:$P$181,$W114)=0,"keine Norm hinterlegt",IF($L114=0,"0 € hinterlegt",""))</f>
        <v/>
      </c>
      <c r="F114" s="12" t="s">
        <v>139</v>
      </c>
      <c r="G114" s="12"/>
      <c r="H114" s="12"/>
      <c r="I114" s="12" t="s">
        <v>42</v>
      </c>
      <c r="J114" s="12" t="s">
        <v>42</v>
      </c>
      <c r="K114" s="11" t="s">
        <v>50</v>
      </c>
      <c r="L114" s="13" t="n">
        <f aca="false">IF(COUNTIFS(Prüfanforderungen!$P$3:$P$181,$W114,Prüfanforderungen!$D$3:$D$181,"Sicherheit-/Normprüfung",Prüfanforderungen!$K$3:$K$181,"&gt;=0")=0,"Preis auf Anfrage",SUMIFS(Prüfanforderungen!$K$3:$K$181,Prüfanforderungen!$P$3:$P$181,$W114,Prüfanforderungen!$D$3:$D$181,"Sicherheit-/Normprüfung"))</f>
        <v>540</v>
      </c>
      <c r="M114" s="11"/>
      <c r="N114" s="11" t="s">
        <v>815</v>
      </c>
      <c r="O114" s="11"/>
      <c r="P114" s="13" t="str">
        <f aca="false">IF(COUNTIFS(Prüfanforderungen!$P$3:$P$181,$W114,Prüfanforderungen!$D$3:$D$181,"FFU/Fitting",Prüfanforderungen!$K$3:$K$181,"&gt;=0")=0,"Preis auf Anfrage",SUMIFS(Prüfanforderungen!$K$3:$K$181,Prüfanforderungen!$P$3:$P$181,$W114,Prüfanforderungen!$D$3:$D$181,"FFU/Fitting"))</f>
        <v>Preis auf Anfrage</v>
      </c>
      <c r="Q114" s="11"/>
      <c r="R114" s="11"/>
      <c r="S114" s="13" t="str">
        <f aca="false">IF(COUNTIFS(Prüfanforderungen!$P$3:$P$181,$W114,Prüfanforderungen!$D$3:$D$181,"NGO / StiWa",Prüfanforderungen!$K$3:$K$181,"&gt;=0")=0,"Preis auf Anfrage",SUMIFS(Prüfanforderungen!$K$3:$K$181,Prüfanforderungen!$P$3:$P$181,$W114,Prüfanforderungen!$D$3:$D$181,"NGO / StiWa"))</f>
        <v>Preis auf Anfrage</v>
      </c>
      <c r="T114" s="11"/>
      <c r="U114" s="13"/>
      <c r="V114" s="13"/>
      <c r="W114" s="11" t="s">
        <v>636</v>
      </c>
    </row>
    <row r="115" customFormat="false" ht="35.05" hidden="false" customHeight="false" outlineLevel="0" collapsed="false">
      <c r="A115" s="11" t="s">
        <v>610</v>
      </c>
      <c r="B115" s="11" t="s">
        <v>637</v>
      </c>
      <c r="C115" s="12" t="s">
        <v>895</v>
      </c>
      <c r="D115" s="11" t="s">
        <v>638</v>
      </c>
      <c r="E115" s="11" t="str">
        <f aca="false">IF(COUNTIFS(Prüfanforderungen!$P$3:$P$181,$W115)=0,"keine Norm hinterlegt",IF($L115=0,"0 € hinterlegt",""))</f>
        <v/>
      </c>
      <c r="F115" s="12" t="s">
        <v>139</v>
      </c>
      <c r="G115" s="12"/>
      <c r="H115" s="12"/>
      <c r="I115" s="12" t="s">
        <v>42</v>
      </c>
      <c r="J115" s="12" t="s">
        <v>42</v>
      </c>
      <c r="K115" s="11" t="s">
        <v>50</v>
      </c>
      <c r="L115" s="13" t="n">
        <f aca="false">IF(COUNTIFS(Prüfanforderungen!$P$3:$P$181,$W115,Prüfanforderungen!$D$3:$D$181,"Sicherheit-/Normprüfung",Prüfanforderungen!$K$3:$K$181,"&gt;=0")=0,"Preis auf Anfrage",SUMIFS(Prüfanforderungen!$K$3:$K$181,Prüfanforderungen!$P$3:$P$181,$W115,Prüfanforderungen!$D$3:$D$181,"Sicherheit-/Normprüfung"))</f>
        <v>540</v>
      </c>
      <c r="M115" s="11"/>
      <c r="N115" s="11" t="s">
        <v>815</v>
      </c>
      <c r="O115" s="11"/>
      <c r="P115" s="13" t="str">
        <f aca="false">IF(COUNTIFS(Prüfanforderungen!$P$3:$P$181,$W115,Prüfanforderungen!$D$3:$D$181,"FFU/Fitting",Prüfanforderungen!$K$3:$K$181,"&gt;=0")=0,"Preis auf Anfrage",SUMIFS(Prüfanforderungen!$K$3:$K$181,Prüfanforderungen!$P$3:$P$181,$W115,Prüfanforderungen!$D$3:$D$181,"FFU/Fitting"))</f>
        <v>Preis auf Anfrage</v>
      </c>
      <c r="Q115" s="11"/>
      <c r="R115" s="11"/>
      <c r="S115" s="13" t="str">
        <f aca="false">IF(COUNTIFS(Prüfanforderungen!$P$3:$P$181,$W115,Prüfanforderungen!$D$3:$D$181,"NGO / StiWa",Prüfanforderungen!$K$3:$K$181,"&gt;=0")=0,"Preis auf Anfrage",SUMIFS(Prüfanforderungen!$K$3:$K$181,Prüfanforderungen!$P$3:$P$181,$W115,Prüfanforderungen!$D$3:$D$181,"NGO / StiWa"))</f>
        <v>Preis auf Anfrage</v>
      </c>
      <c r="T115" s="11"/>
      <c r="U115" s="13"/>
      <c r="V115" s="13"/>
      <c r="W115" s="11" t="s">
        <v>639</v>
      </c>
    </row>
    <row r="116" customFormat="false" ht="102.2" hidden="false" customHeight="false" outlineLevel="0" collapsed="false">
      <c r="A116" s="11" t="s">
        <v>610</v>
      </c>
      <c r="B116" s="11" t="s">
        <v>640</v>
      </c>
      <c r="C116" s="12" t="s">
        <v>896</v>
      </c>
      <c r="D116" s="11" t="s">
        <v>641</v>
      </c>
      <c r="E116" s="11" t="str">
        <f aca="false">IF(COUNTIFS(Prüfanforderungen!$P$3:$P$181,$W116)=0,"keine Norm hinterlegt",IF($L116=0,"0 € hinterlegt",""))</f>
        <v>0 € hinterlegt</v>
      </c>
      <c r="F116" s="12" t="s">
        <v>42</v>
      </c>
      <c r="G116" s="12" t="n">
        <v>6</v>
      </c>
      <c r="H116" s="12"/>
      <c r="I116" s="12" t="s">
        <v>42</v>
      </c>
      <c r="J116" s="12" t="s">
        <v>42</v>
      </c>
      <c r="K116" s="11" t="s">
        <v>286</v>
      </c>
      <c r="L116" s="13" t="n">
        <f aca="false">IF(COUNTIFS(Prüfanforderungen!$P$3:$P$181,$W116,Prüfanforderungen!$D$3:$D$181,"Sicherheit-/Normprüfung",Prüfanforderungen!$K$3:$K$181,"&gt;=0")=0,"Preis auf Anfrage",SUMIFS(Prüfanforderungen!$K$3:$K$181,Prüfanforderungen!$P$3:$P$181,$W116,Prüfanforderungen!$D$3:$D$181,"Sicherheit-/Normprüfung"))</f>
        <v>0</v>
      </c>
      <c r="M116" s="11"/>
      <c r="N116" s="11" t="s">
        <v>897</v>
      </c>
      <c r="O116" s="11"/>
      <c r="P116" s="13" t="str">
        <f aca="false">IF(COUNTIFS(Prüfanforderungen!$P$3:$P$181,$W116,Prüfanforderungen!$D$3:$D$181,"FFU/Fitting",Prüfanforderungen!$K$3:$K$181,"&gt;=0")=0,"Preis auf Anfrage",SUMIFS(Prüfanforderungen!$K$3:$K$181,Prüfanforderungen!$P$3:$P$181,$W116,Prüfanforderungen!$D$3:$D$181,"FFU/Fitting"))</f>
        <v>Preis auf Anfrage</v>
      </c>
      <c r="Q116" s="11"/>
      <c r="R116" s="11" t="s">
        <v>267</v>
      </c>
      <c r="S116" s="13" t="n">
        <f aca="false">IF(COUNTIFS(Prüfanforderungen!$P$3:$P$181,$W116,Prüfanforderungen!$D$3:$D$181,"NGO / StiWa",Prüfanforderungen!$K$3:$K$181,"&gt;=0")=0,"Preis auf Anfrage",SUMIFS(Prüfanforderungen!$K$3:$K$181,Prüfanforderungen!$P$3:$P$181,$W116,Prüfanforderungen!$D$3:$D$181,"NGO / StiWa"))</f>
        <v>2000</v>
      </c>
      <c r="T116" s="11"/>
      <c r="U116" s="13" t="n">
        <v>500</v>
      </c>
      <c r="V116" s="13" t="n">
        <v>960</v>
      </c>
      <c r="W116" s="11" t="s">
        <v>642</v>
      </c>
    </row>
    <row r="117" customFormat="false" ht="46.25" hidden="false" customHeight="false" outlineLevel="0" collapsed="false">
      <c r="A117" s="11" t="s">
        <v>610</v>
      </c>
      <c r="B117" s="11" t="s">
        <v>643</v>
      </c>
      <c r="C117" s="12" t="s">
        <v>898</v>
      </c>
      <c r="D117" s="11" t="s">
        <v>643</v>
      </c>
      <c r="E117" s="11" t="str">
        <f aca="false">IF(COUNTIFS(Prüfanforderungen!$P$3:$P$181,$W117)=0,"keine Norm hinterlegt",IF($L117=0,"0 € hinterlegt",""))</f>
        <v/>
      </c>
      <c r="F117" s="12" t="s">
        <v>139</v>
      </c>
      <c r="G117" s="12"/>
      <c r="H117" s="12"/>
      <c r="I117" s="12" t="s">
        <v>42</v>
      </c>
      <c r="J117" s="12" t="s">
        <v>42</v>
      </c>
      <c r="K117" s="11" t="s">
        <v>50</v>
      </c>
      <c r="L117" s="13" t="str">
        <f aca="false">IF(COUNTIFS(Prüfanforderungen!$P$3:$P$181,$W117,Prüfanforderungen!$D$3:$D$181,"Sicherheit-/Normprüfung",Prüfanforderungen!$K$3:$K$181,"&gt;=0")=0,"Preis auf Anfrage",SUMIFS(Prüfanforderungen!$K$3:$K$181,Prüfanforderungen!$P$3:$P$181,$W117,Prüfanforderungen!$D$3:$D$181,"Sicherheit-/Normprüfung"))</f>
        <v>Preis auf Anfrage</v>
      </c>
      <c r="M117" s="11"/>
      <c r="N117" s="11" t="s">
        <v>815</v>
      </c>
      <c r="O117" s="11"/>
      <c r="P117" s="13" t="str">
        <f aca="false">IF(COUNTIFS(Prüfanforderungen!$P$3:$P$181,$W117,Prüfanforderungen!$D$3:$D$181,"FFU/Fitting",Prüfanforderungen!$K$3:$K$181,"&gt;=0")=0,"Preis auf Anfrage",SUMIFS(Prüfanforderungen!$K$3:$K$181,Prüfanforderungen!$P$3:$P$181,$W117,Prüfanforderungen!$D$3:$D$181,"FFU/Fitting"))</f>
        <v>Preis auf Anfrage</v>
      </c>
      <c r="Q117" s="11"/>
      <c r="R117" s="11"/>
      <c r="S117" s="13" t="str">
        <f aca="false">IF(COUNTIFS(Prüfanforderungen!$P$3:$P$181,$W117,Prüfanforderungen!$D$3:$D$181,"NGO / StiWa",Prüfanforderungen!$K$3:$K$181,"&gt;=0")=0,"Preis auf Anfrage",SUMIFS(Prüfanforderungen!$K$3:$K$181,Prüfanforderungen!$P$3:$P$181,$W117,Prüfanforderungen!$D$3:$D$181,"NGO / StiWa"))</f>
        <v>Preis auf Anfrage</v>
      </c>
      <c r="T117" s="11"/>
      <c r="U117" s="13"/>
      <c r="V117" s="13"/>
      <c r="W117" s="11" t="s">
        <v>644</v>
      </c>
    </row>
    <row r="118" customFormat="false" ht="46.25" hidden="false" customHeight="false" outlineLevel="0" collapsed="false">
      <c r="A118" s="11" t="s">
        <v>610</v>
      </c>
      <c r="B118" s="11" t="s">
        <v>645</v>
      </c>
      <c r="C118" s="12" t="s">
        <v>899</v>
      </c>
      <c r="D118" s="11" t="s">
        <v>588</v>
      </c>
      <c r="E118" s="11" t="str">
        <f aca="false">IF(COUNTIFS(Prüfanforderungen!$P$3:$P$181,$W118)=0,"keine Norm hinterlegt",IF($L118=0,"0 € hinterlegt",""))</f>
        <v/>
      </c>
      <c r="F118" s="12" t="s">
        <v>139</v>
      </c>
      <c r="G118" s="12"/>
      <c r="H118" s="12"/>
      <c r="I118" s="12" t="s">
        <v>42</v>
      </c>
      <c r="J118" s="12" t="s">
        <v>42</v>
      </c>
      <c r="K118" s="11" t="s">
        <v>50</v>
      </c>
      <c r="L118" s="13" t="n">
        <f aca="false">IF(COUNTIFS(Prüfanforderungen!$P$3:$P$181,$W118,Prüfanforderungen!$D$3:$D$181,"Sicherheit-/Normprüfung",Prüfanforderungen!$K$3:$K$181,"&gt;=0")=0,"Preis auf Anfrage",SUMIFS(Prüfanforderungen!$K$3:$K$181,Prüfanforderungen!$P$3:$P$181,$W118,Prüfanforderungen!$D$3:$D$181,"Sicherheit-/Normprüfung"))</f>
        <v>540</v>
      </c>
      <c r="M118" s="11"/>
      <c r="N118" s="11" t="s">
        <v>815</v>
      </c>
      <c r="O118" s="11"/>
      <c r="P118" s="13" t="str">
        <f aca="false">IF(COUNTIFS(Prüfanforderungen!$P$3:$P$181,$W118,Prüfanforderungen!$D$3:$D$181,"FFU/Fitting",Prüfanforderungen!$K$3:$K$181,"&gt;=0")=0,"Preis auf Anfrage",SUMIFS(Prüfanforderungen!$K$3:$K$181,Prüfanforderungen!$P$3:$P$181,$W118,Prüfanforderungen!$D$3:$D$181,"FFU/Fitting"))</f>
        <v>Preis auf Anfrage</v>
      </c>
      <c r="Q118" s="11"/>
      <c r="R118" s="11"/>
      <c r="S118" s="13" t="str">
        <f aca="false">IF(COUNTIFS(Prüfanforderungen!$P$3:$P$181,$W118,Prüfanforderungen!$D$3:$D$181,"NGO / StiWa",Prüfanforderungen!$K$3:$K$181,"&gt;=0")=0,"Preis auf Anfrage",SUMIFS(Prüfanforderungen!$K$3:$K$181,Prüfanforderungen!$P$3:$P$181,$W118,Prüfanforderungen!$D$3:$D$181,"NGO / StiWa"))</f>
        <v>Preis auf Anfrage</v>
      </c>
      <c r="T118" s="11"/>
      <c r="U118" s="13"/>
      <c r="V118" s="13"/>
      <c r="W118" s="11" t="s">
        <v>646</v>
      </c>
    </row>
    <row r="119" customFormat="false" ht="46.25" hidden="false" customHeight="false" outlineLevel="0" collapsed="false">
      <c r="A119" s="11" t="s">
        <v>610</v>
      </c>
      <c r="B119" s="11" t="s">
        <v>647</v>
      </c>
      <c r="C119" s="12" t="s">
        <v>900</v>
      </c>
      <c r="D119" s="11" t="s">
        <v>648</v>
      </c>
      <c r="E119" s="11" t="str">
        <f aca="false">IF(COUNTIFS(Prüfanforderungen!$P$3:$P$181,$W119)=0,"keine Norm hinterlegt",IF($L119=0,"0 € hinterlegt",""))</f>
        <v/>
      </c>
      <c r="F119" s="12" t="s">
        <v>139</v>
      </c>
      <c r="G119" s="12"/>
      <c r="H119" s="12"/>
      <c r="I119" s="12" t="s">
        <v>42</v>
      </c>
      <c r="J119" s="12" t="s">
        <v>42</v>
      </c>
      <c r="K119" s="11" t="s">
        <v>50</v>
      </c>
      <c r="L119" s="13" t="n">
        <f aca="false">IF(COUNTIFS(Prüfanforderungen!$P$3:$P$181,$W119,Prüfanforderungen!$D$3:$D$181,"Sicherheit-/Normprüfung",Prüfanforderungen!$K$3:$K$181,"&gt;=0")=0,"Preis auf Anfrage",SUMIFS(Prüfanforderungen!$K$3:$K$181,Prüfanforderungen!$P$3:$P$181,$W119,Prüfanforderungen!$D$3:$D$181,"Sicherheit-/Normprüfung"))</f>
        <v>540</v>
      </c>
      <c r="M119" s="11"/>
      <c r="N119" s="11" t="s">
        <v>815</v>
      </c>
      <c r="O119" s="11"/>
      <c r="P119" s="13" t="str">
        <f aca="false">IF(COUNTIFS(Prüfanforderungen!$P$3:$P$181,$W119,Prüfanforderungen!$D$3:$D$181,"FFU/Fitting",Prüfanforderungen!$K$3:$K$181,"&gt;=0")=0,"Preis auf Anfrage",SUMIFS(Prüfanforderungen!$K$3:$K$181,Prüfanforderungen!$P$3:$P$181,$W119,Prüfanforderungen!$D$3:$D$181,"FFU/Fitting"))</f>
        <v>Preis auf Anfrage</v>
      </c>
      <c r="Q119" s="11"/>
      <c r="R119" s="11"/>
      <c r="S119" s="13" t="str">
        <f aca="false">IF(COUNTIFS(Prüfanforderungen!$P$3:$P$181,$W119,Prüfanforderungen!$D$3:$D$181,"NGO / StiWa",Prüfanforderungen!$K$3:$K$181,"&gt;=0")=0,"Preis auf Anfrage",SUMIFS(Prüfanforderungen!$K$3:$K$181,Prüfanforderungen!$P$3:$P$181,$W119,Prüfanforderungen!$D$3:$D$181,"NGO / StiWa"))</f>
        <v>Preis auf Anfrage</v>
      </c>
      <c r="T119" s="11"/>
      <c r="U119" s="13"/>
      <c r="V119" s="13"/>
      <c r="W119" s="11" t="s">
        <v>649</v>
      </c>
    </row>
    <row r="120" customFormat="false" ht="46.25" hidden="false" customHeight="false" outlineLevel="0" collapsed="false">
      <c r="A120" s="11" t="s">
        <v>610</v>
      </c>
      <c r="B120" s="11" t="s">
        <v>650</v>
      </c>
      <c r="C120" s="12" t="s">
        <v>901</v>
      </c>
      <c r="D120" s="11" t="s">
        <v>651</v>
      </c>
      <c r="E120" s="11" t="str">
        <f aca="false">IF(COUNTIFS(Prüfanforderungen!$P$3:$P$181,$W120)=0,"keine Norm hinterlegt",IF($L120=0,"0 € hinterlegt",""))</f>
        <v/>
      </c>
      <c r="F120" s="12" t="s">
        <v>139</v>
      </c>
      <c r="G120" s="12"/>
      <c r="H120" s="12"/>
      <c r="I120" s="12" t="s">
        <v>42</v>
      </c>
      <c r="J120" s="12" t="s">
        <v>42</v>
      </c>
      <c r="K120" s="11" t="s">
        <v>50</v>
      </c>
      <c r="L120" s="13" t="n">
        <f aca="false">IF(COUNTIFS(Prüfanforderungen!$P$3:$P$181,$W120,Prüfanforderungen!$D$3:$D$181,"Sicherheit-/Normprüfung",Prüfanforderungen!$K$3:$K$181,"&gt;=0")=0,"Preis auf Anfrage",SUMIFS(Prüfanforderungen!$K$3:$K$181,Prüfanforderungen!$P$3:$P$181,$W120,Prüfanforderungen!$D$3:$D$181,"Sicherheit-/Normprüfung"))</f>
        <v>1080</v>
      </c>
      <c r="M120" s="11"/>
      <c r="N120" s="11" t="s">
        <v>815</v>
      </c>
      <c r="O120" s="11"/>
      <c r="P120" s="13" t="str">
        <f aca="false">IF(COUNTIFS(Prüfanforderungen!$P$3:$P$181,$W120,Prüfanforderungen!$D$3:$D$181,"FFU/Fitting",Prüfanforderungen!$K$3:$K$181,"&gt;=0")=0,"Preis auf Anfrage",SUMIFS(Prüfanforderungen!$K$3:$K$181,Prüfanforderungen!$P$3:$P$181,$W120,Prüfanforderungen!$D$3:$D$181,"FFU/Fitting"))</f>
        <v>Preis auf Anfrage</v>
      </c>
      <c r="Q120" s="11"/>
      <c r="R120" s="11"/>
      <c r="S120" s="13" t="str">
        <f aca="false">IF(COUNTIFS(Prüfanforderungen!$P$3:$P$181,$W120,Prüfanforderungen!$D$3:$D$181,"NGO / StiWa",Prüfanforderungen!$K$3:$K$181,"&gt;=0")=0,"Preis auf Anfrage",SUMIFS(Prüfanforderungen!$K$3:$K$181,Prüfanforderungen!$P$3:$P$181,$W120,Prüfanforderungen!$D$3:$D$181,"NGO / StiWa"))</f>
        <v>Preis auf Anfrage</v>
      </c>
      <c r="T120" s="11"/>
      <c r="U120" s="13"/>
      <c r="V120" s="13"/>
      <c r="W120" s="11" t="s">
        <v>652</v>
      </c>
    </row>
    <row r="121" customFormat="false" ht="46.25" hidden="false" customHeight="false" outlineLevel="0" collapsed="false">
      <c r="A121" s="11" t="s">
        <v>610</v>
      </c>
      <c r="B121" s="11" t="s">
        <v>650</v>
      </c>
      <c r="C121" s="12" t="s">
        <v>901</v>
      </c>
      <c r="D121" s="11" t="s">
        <v>653</v>
      </c>
      <c r="E121" s="11" t="str">
        <f aca="false">IF(COUNTIFS(Prüfanforderungen!$P$3:$P$181,$W121)=0,"keine Norm hinterlegt",IF($L121=0,"0 € hinterlegt",""))</f>
        <v/>
      </c>
      <c r="F121" s="12" t="s">
        <v>139</v>
      </c>
      <c r="G121" s="12"/>
      <c r="H121" s="12"/>
      <c r="I121" s="12" t="s">
        <v>42</v>
      </c>
      <c r="J121" s="12" t="s">
        <v>42</v>
      </c>
      <c r="K121" s="11" t="s">
        <v>50</v>
      </c>
      <c r="L121" s="13" t="n">
        <f aca="false">IF(COUNTIFS(Prüfanforderungen!$P$3:$P$181,$W121,Prüfanforderungen!$D$3:$D$181,"Sicherheit-/Normprüfung",Prüfanforderungen!$K$3:$K$181,"&gt;=0")=0,"Preis auf Anfrage",SUMIFS(Prüfanforderungen!$K$3:$K$181,Prüfanforderungen!$P$3:$P$181,$W121,Prüfanforderungen!$D$3:$D$181,"Sicherheit-/Normprüfung"))</f>
        <v>540</v>
      </c>
      <c r="M121" s="11"/>
      <c r="N121" s="11" t="s">
        <v>815</v>
      </c>
      <c r="O121" s="11"/>
      <c r="P121" s="13" t="str">
        <f aca="false">IF(COUNTIFS(Prüfanforderungen!$P$3:$P$181,$W121,Prüfanforderungen!$D$3:$D$181,"FFU/Fitting",Prüfanforderungen!$K$3:$K$181,"&gt;=0")=0,"Preis auf Anfrage",SUMIFS(Prüfanforderungen!$K$3:$K$181,Prüfanforderungen!$P$3:$P$181,$W121,Prüfanforderungen!$D$3:$D$181,"FFU/Fitting"))</f>
        <v>Preis auf Anfrage</v>
      </c>
      <c r="Q121" s="11"/>
      <c r="R121" s="11"/>
      <c r="S121" s="13" t="str">
        <f aca="false">IF(COUNTIFS(Prüfanforderungen!$P$3:$P$181,$W121,Prüfanforderungen!$D$3:$D$181,"NGO / StiWa",Prüfanforderungen!$K$3:$K$181,"&gt;=0")=0,"Preis auf Anfrage",SUMIFS(Prüfanforderungen!$K$3:$K$181,Prüfanforderungen!$P$3:$P$181,$W121,Prüfanforderungen!$D$3:$D$181,"NGO / StiWa"))</f>
        <v>Preis auf Anfrage</v>
      </c>
      <c r="T121" s="11"/>
      <c r="U121" s="13"/>
      <c r="V121" s="13"/>
      <c r="W121" s="11" t="s">
        <v>654</v>
      </c>
    </row>
    <row r="122" customFormat="false" ht="46.25" hidden="false" customHeight="false" outlineLevel="0" collapsed="false">
      <c r="A122" s="11" t="s">
        <v>610</v>
      </c>
      <c r="B122" s="11" t="s">
        <v>650</v>
      </c>
      <c r="C122" s="12" t="s">
        <v>901</v>
      </c>
      <c r="D122" s="11" t="s">
        <v>655</v>
      </c>
      <c r="E122" s="11" t="str">
        <f aca="false">IF(COUNTIFS(Prüfanforderungen!$P$3:$P$181,$W122)=0,"keine Norm hinterlegt",IF($L122=0,"0 € hinterlegt",""))</f>
        <v/>
      </c>
      <c r="F122" s="12" t="s">
        <v>139</v>
      </c>
      <c r="G122" s="12"/>
      <c r="H122" s="12"/>
      <c r="I122" s="12" t="s">
        <v>42</v>
      </c>
      <c r="J122" s="12" t="s">
        <v>42</v>
      </c>
      <c r="K122" s="11" t="s">
        <v>50</v>
      </c>
      <c r="L122" s="13" t="n">
        <f aca="false">IF(COUNTIFS(Prüfanforderungen!$P$3:$P$181,$W122,Prüfanforderungen!$D$3:$D$181,"Sicherheit-/Normprüfung",Prüfanforderungen!$K$3:$K$181,"&gt;=0")=0,"Preis auf Anfrage",SUMIFS(Prüfanforderungen!$K$3:$K$181,Prüfanforderungen!$P$3:$P$181,$W122,Prüfanforderungen!$D$3:$D$181,"Sicherheit-/Normprüfung"))</f>
        <v>1080</v>
      </c>
      <c r="M122" s="11"/>
      <c r="N122" s="11" t="s">
        <v>815</v>
      </c>
      <c r="O122" s="11"/>
      <c r="P122" s="13" t="str">
        <f aca="false">IF(COUNTIFS(Prüfanforderungen!$P$3:$P$181,$W122,Prüfanforderungen!$D$3:$D$181,"FFU/Fitting",Prüfanforderungen!$K$3:$K$181,"&gt;=0")=0,"Preis auf Anfrage",SUMIFS(Prüfanforderungen!$K$3:$K$181,Prüfanforderungen!$P$3:$P$181,$W122,Prüfanforderungen!$D$3:$D$181,"FFU/Fitting"))</f>
        <v>Preis auf Anfrage</v>
      </c>
      <c r="Q122" s="11"/>
      <c r="R122" s="11"/>
      <c r="S122" s="13" t="str">
        <f aca="false">IF(COUNTIFS(Prüfanforderungen!$P$3:$P$181,$W122,Prüfanforderungen!$D$3:$D$181,"NGO / StiWa",Prüfanforderungen!$K$3:$K$181,"&gt;=0")=0,"Preis auf Anfrage",SUMIFS(Prüfanforderungen!$K$3:$K$181,Prüfanforderungen!$P$3:$P$181,$W122,Prüfanforderungen!$D$3:$D$181,"NGO / StiWa"))</f>
        <v>Preis auf Anfrage</v>
      </c>
      <c r="T122" s="11"/>
      <c r="U122" s="13"/>
      <c r="V122" s="13"/>
      <c r="W122" s="11" t="s">
        <v>656</v>
      </c>
    </row>
    <row r="123" customFormat="false" ht="46.25" hidden="false" customHeight="false" outlineLevel="0" collapsed="false">
      <c r="A123" s="11" t="s">
        <v>610</v>
      </c>
      <c r="B123" s="11" t="s">
        <v>657</v>
      </c>
      <c r="C123" s="12" t="s">
        <v>902</v>
      </c>
      <c r="D123" s="11" t="s">
        <v>658</v>
      </c>
      <c r="E123" s="11" t="str">
        <f aca="false">IF(COUNTIFS(Prüfanforderungen!$P$3:$P$181,$W123)=0,"keine Norm hinterlegt",IF($L123=0,"0 € hinterlegt",""))</f>
        <v/>
      </c>
      <c r="F123" s="12" t="s">
        <v>139</v>
      </c>
      <c r="G123" s="12"/>
      <c r="H123" s="12"/>
      <c r="I123" s="12" t="s">
        <v>42</v>
      </c>
      <c r="J123" s="12" t="s">
        <v>42</v>
      </c>
      <c r="K123" s="11" t="s">
        <v>50</v>
      </c>
      <c r="L123" s="13" t="str">
        <f aca="false">IF(COUNTIFS(Prüfanforderungen!$P$3:$P$181,$W123,Prüfanforderungen!$D$3:$D$181,"Sicherheit-/Normprüfung",Prüfanforderungen!$K$3:$K$181,"&gt;=0")=0,"Preis auf Anfrage",SUMIFS(Prüfanforderungen!$K$3:$K$181,Prüfanforderungen!$P$3:$P$181,$W123,Prüfanforderungen!$D$3:$D$181,"Sicherheit-/Normprüfung"))</f>
        <v>Preis auf Anfrage</v>
      </c>
      <c r="M123" s="11"/>
      <c r="N123" s="11" t="s">
        <v>815</v>
      </c>
      <c r="O123" s="11"/>
      <c r="P123" s="13" t="str">
        <f aca="false">IF(COUNTIFS(Prüfanforderungen!$P$3:$P$181,$W123,Prüfanforderungen!$D$3:$D$181,"FFU/Fitting",Prüfanforderungen!$K$3:$K$181,"&gt;=0")=0,"Preis auf Anfrage",SUMIFS(Prüfanforderungen!$K$3:$K$181,Prüfanforderungen!$P$3:$P$181,$W123,Prüfanforderungen!$D$3:$D$181,"FFU/Fitting"))</f>
        <v>Preis auf Anfrage</v>
      </c>
      <c r="Q123" s="11"/>
      <c r="R123" s="11"/>
      <c r="S123" s="13" t="str">
        <f aca="false">IF(COUNTIFS(Prüfanforderungen!$P$3:$P$181,$W123,Prüfanforderungen!$D$3:$D$181,"NGO / StiWa",Prüfanforderungen!$K$3:$K$181,"&gt;=0")=0,"Preis auf Anfrage",SUMIFS(Prüfanforderungen!$K$3:$K$181,Prüfanforderungen!$P$3:$P$181,$W123,Prüfanforderungen!$D$3:$D$181,"NGO / StiWa"))</f>
        <v>Preis auf Anfrage</v>
      </c>
      <c r="T123" s="11"/>
      <c r="U123" s="13"/>
      <c r="V123" s="13"/>
      <c r="W123" s="11" t="s">
        <v>659</v>
      </c>
    </row>
    <row r="124" customFormat="false" ht="46.25" hidden="false" customHeight="false" outlineLevel="0" collapsed="false">
      <c r="A124" s="11" t="s">
        <v>610</v>
      </c>
      <c r="B124" s="11" t="s">
        <v>657</v>
      </c>
      <c r="C124" s="12" t="s">
        <v>902</v>
      </c>
      <c r="D124" s="11" t="s">
        <v>660</v>
      </c>
      <c r="E124" s="11" t="str">
        <f aca="false">IF(COUNTIFS(Prüfanforderungen!$P$3:$P$181,$W124)=0,"keine Norm hinterlegt",IF($L124=0,"0 € hinterlegt",""))</f>
        <v/>
      </c>
      <c r="F124" s="12" t="s">
        <v>139</v>
      </c>
      <c r="G124" s="12"/>
      <c r="H124" s="12"/>
      <c r="I124" s="12" t="s">
        <v>42</v>
      </c>
      <c r="J124" s="12" t="s">
        <v>42</v>
      </c>
      <c r="K124" s="11" t="s">
        <v>50</v>
      </c>
      <c r="L124" s="13" t="str">
        <f aca="false">IF(COUNTIFS(Prüfanforderungen!$P$3:$P$181,$W124,Prüfanforderungen!$D$3:$D$181,"Sicherheit-/Normprüfung",Prüfanforderungen!$K$3:$K$181,"&gt;=0")=0,"Preis auf Anfrage",SUMIFS(Prüfanforderungen!$K$3:$K$181,Prüfanforderungen!$P$3:$P$181,$W124,Prüfanforderungen!$D$3:$D$181,"Sicherheit-/Normprüfung"))</f>
        <v>Preis auf Anfrage</v>
      </c>
      <c r="M124" s="11"/>
      <c r="N124" s="11" t="s">
        <v>815</v>
      </c>
      <c r="O124" s="11"/>
      <c r="P124" s="13" t="str">
        <f aca="false">IF(COUNTIFS(Prüfanforderungen!$P$3:$P$181,$W124,Prüfanforderungen!$D$3:$D$181,"FFU/Fitting",Prüfanforderungen!$K$3:$K$181,"&gt;=0")=0,"Preis auf Anfrage",SUMIFS(Prüfanforderungen!$K$3:$K$181,Prüfanforderungen!$P$3:$P$181,$W124,Prüfanforderungen!$D$3:$D$181,"FFU/Fitting"))</f>
        <v>Preis auf Anfrage</v>
      </c>
      <c r="Q124" s="11"/>
      <c r="R124" s="11"/>
      <c r="S124" s="13" t="str">
        <f aca="false">IF(COUNTIFS(Prüfanforderungen!$P$3:$P$181,$W124,Prüfanforderungen!$D$3:$D$181,"NGO / StiWa",Prüfanforderungen!$K$3:$K$181,"&gt;=0")=0,"Preis auf Anfrage",SUMIFS(Prüfanforderungen!$K$3:$K$181,Prüfanforderungen!$P$3:$P$181,$W124,Prüfanforderungen!$D$3:$D$181,"NGO / StiWa"))</f>
        <v>Preis auf Anfrage</v>
      </c>
      <c r="T124" s="11"/>
      <c r="U124" s="13"/>
      <c r="V124" s="13"/>
      <c r="W124" s="11" t="s">
        <v>661</v>
      </c>
    </row>
    <row r="125" customFormat="false" ht="46.25" hidden="false" customHeight="false" outlineLevel="0" collapsed="false">
      <c r="A125" s="11" t="s">
        <v>610</v>
      </c>
      <c r="B125" s="11" t="s">
        <v>662</v>
      </c>
      <c r="C125" s="12" t="s">
        <v>903</v>
      </c>
      <c r="D125" s="11" t="s">
        <v>663</v>
      </c>
      <c r="E125" s="11" t="str">
        <f aca="false">IF(COUNTIFS(Prüfanforderungen!$P$3:$P$181,$W125)=0,"keine Norm hinterlegt",IF($L125=0,"0 € hinterlegt",""))</f>
        <v/>
      </c>
      <c r="F125" s="12" t="s">
        <v>139</v>
      </c>
      <c r="G125" s="12"/>
      <c r="H125" s="12"/>
      <c r="I125" s="12" t="s">
        <v>42</v>
      </c>
      <c r="J125" s="12" t="s">
        <v>42</v>
      </c>
      <c r="K125" s="11" t="s">
        <v>50</v>
      </c>
      <c r="L125" s="13" t="str">
        <f aca="false">IF(COUNTIFS(Prüfanforderungen!$P$3:$P$181,$W125,Prüfanforderungen!$D$3:$D$181,"Sicherheit-/Normprüfung",Prüfanforderungen!$K$3:$K$181,"&gt;=0")=0,"Preis auf Anfrage",SUMIFS(Prüfanforderungen!$K$3:$K$181,Prüfanforderungen!$P$3:$P$181,$W125,Prüfanforderungen!$D$3:$D$181,"Sicherheit-/Normprüfung"))</f>
        <v>Preis auf Anfrage</v>
      </c>
      <c r="M125" s="11"/>
      <c r="N125" s="11" t="s">
        <v>815</v>
      </c>
      <c r="O125" s="11"/>
      <c r="P125" s="13" t="str">
        <f aca="false">IF(COUNTIFS(Prüfanforderungen!$P$3:$P$181,$W125,Prüfanforderungen!$D$3:$D$181,"FFU/Fitting",Prüfanforderungen!$K$3:$K$181,"&gt;=0")=0,"Preis auf Anfrage",SUMIFS(Prüfanforderungen!$K$3:$K$181,Prüfanforderungen!$P$3:$P$181,$W125,Prüfanforderungen!$D$3:$D$181,"FFU/Fitting"))</f>
        <v>Preis auf Anfrage</v>
      </c>
      <c r="Q125" s="11"/>
      <c r="R125" s="11"/>
      <c r="S125" s="13" t="str">
        <f aca="false">IF(COUNTIFS(Prüfanforderungen!$P$3:$P$181,$W125,Prüfanforderungen!$D$3:$D$181,"NGO / StiWa",Prüfanforderungen!$K$3:$K$181,"&gt;=0")=0,"Preis auf Anfrage",SUMIFS(Prüfanforderungen!$K$3:$K$181,Prüfanforderungen!$P$3:$P$181,$W125,Prüfanforderungen!$D$3:$D$181,"NGO / StiWa"))</f>
        <v>Preis auf Anfrage</v>
      </c>
      <c r="T125" s="11"/>
      <c r="U125" s="13"/>
      <c r="V125" s="13"/>
      <c r="W125" s="11" t="s">
        <v>664</v>
      </c>
    </row>
    <row r="126" customFormat="false" ht="46.25" hidden="false" customHeight="false" outlineLevel="0" collapsed="false">
      <c r="A126" s="11" t="s">
        <v>610</v>
      </c>
      <c r="B126" s="11" t="s">
        <v>662</v>
      </c>
      <c r="C126" s="12" t="s">
        <v>903</v>
      </c>
      <c r="D126" s="11" t="s">
        <v>665</v>
      </c>
      <c r="E126" s="11" t="str">
        <f aca="false">IF(COUNTIFS(Prüfanforderungen!$P$3:$P$181,$W126)=0,"keine Norm hinterlegt",IF($L126=0,"0 € hinterlegt",""))</f>
        <v>0 € hinterlegt</v>
      </c>
      <c r="F126" s="12" t="s">
        <v>42</v>
      </c>
      <c r="G126" s="12"/>
      <c r="H126" s="12"/>
      <c r="I126" s="12" t="s">
        <v>42</v>
      </c>
      <c r="J126" s="12" t="s">
        <v>42</v>
      </c>
      <c r="K126" s="11" t="s">
        <v>106</v>
      </c>
      <c r="L126" s="13" t="n">
        <f aca="false">IF(COUNTIFS(Prüfanforderungen!$P$3:$P$181,$W126,Prüfanforderungen!$D$3:$D$181,"Sicherheit-/Normprüfung",Prüfanforderungen!$K$3:$K$181,"&gt;=0")=0,"Preis auf Anfrage",SUMIFS(Prüfanforderungen!$K$3:$K$181,Prüfanforderungen!$P$3:$P$181,$W126,Prüfanforderungen!$D$3:$D$181,"Sicherheit-/Normprüfung"))</f>
        <v>0</v>
      </c>
      <c r="M126" s="11"/>
      <c r="N126" s="11"/>
      <c r="O126" s="11"/>
      <c r="P126" s="13" t="str">
        <f aca="false">IF(COUNTIFS(Prüfanforderungen!$P$3:$P$181,$W126,Prüfanforderungen!$D$3:$D$181,"FFU/Fitting",Prüfanforderungen!$K$3:$K$181,"&gt;=0")=0,"Preis auf Anfrage",SUMIFS(Prüfanforderungen!$K$3:$K$181,Prüfanforderungen!$P$3:$P$181,$W126,Prüfanforderungen!$D$3:$D$181,"FFU/Fitting"))</f>
        <v>Preis auf Anfrage</v>
      </c>
      <c r="Q126" s="11"/>
      <c r="R126" s="11"/>
      <c r="S126" s="13" t="str">
        <f aca="false">IF(COUNTIFS(Prüfanforderungen!$P$3:$P$181,$W126,Prüfanforderungen!$D$3:$D$181,"NGO / StiWa",Prüfanforderungen!$K$3:$K$181,"&gt;=0")=0,"Preis auf Anfrage",SUMIFS(Prüfanforderungen!$K$3:$K$181,Prüfanforderungen!$P$3:$P$181,$W126,Prüfanforderungen!$D$3:$D$181,"NGO / StiWa"))</f>
        <v>Preis auf Anfrage</v>
      </c>
      <c r="T126" s="11"/>
      <c r="U126" s="13"/>
      <c r="V126" s="13"/>
      <c r="W126" s="11" t="s">
        <v>666</v>
      </c>
    </row>
    <row r="127" customFormat="false" ht="46.25" hidden="false" customHeight="false" outlineLevel="0" collapsed="false">
      <c r="A127" s="11" t="s">
        <v>610</v>
      </c>
      <c r="B127" s="11" t="s">
        <v>662</v>
      </c>
      <c r="C127" s="12" t="s">
        <v>903</v>
      </c>
      <c r="D127" s="11" t="s">
        <v>667</v>
      </c>
      <c r="E127" s="11" t="str">
        <f aca="false">IF(COUNTIFS(Prüfanforderungen!$P$3:$P$181,$W127)=0,"keine Norm hinterlegt",IF($L127=0,"0 € hinterlegt",""))</f>
        <v/>
      </c>
      <c r="F127" s="12" t="s">
        <v>42</v>
      </c>
      <c r="G127" s="12"/>
      <c r="H127" s="12"/>
      <c r="I127" s="12" t="s">
        <v>42</v>
      </c>
      <c r="J127" s="12" t="s">
        <v>42</v>
      </c>
      <c r="K127" s="11" t="s">
        <v>106</v>
      </c>
      <c r="L127" s="13" t="n">
        <f aca="false">IF(COUNTIFS(Prüfanforderungen!$P$3:$P$181,$W127,Prüfanforderungen!$D$3:$D$181,"Sicherheit-/Normprüfung",Prüfanforderungen!$K$3:$K$181,"&gt;=0")=0,"Preis auf Anfrage",SUMIFS(Prüfanforderungen!$K$3:$K$181,Prüfanforderungen!$P$3:$P$181,$W127,Prüfanforderungen!$D$3:$D$181,"Sicherheit-/Normprüfung"))</f>
        <v>1690</v>
      </c>
      <c r="M127" s="11"/>
      <c r="N127" s="11"/>
      <c r="O127" s="11"/>
      <c r="P127" s="13" t="str">
        <f aca="false">IF(COUNTIFS(Prüfanforderungen!$P$3:$P$181,$W127,Prüfanforderungen!$D$3:$D$181,"FFU/Fitting",Prüfanforderungen!$K$3:$K$181,"&gt;=0")=0,"Preis auf Anfrage",SUMIFS(Prüfanforderungen!$K$3:$K$181,Prüfanforderungen!$P$3:$P$181,$W127,Prüfanforderungen!$D$3:$D$181,"FFU/Fitting"))</f>
        <v>Preis auf Anfrage</v>
      </c>
      <c r="Q127" s="11"/>
      <c r="R127" s="11"/>
      <c r="S127" s="13" t="str">
        <f aca="false">IF(COUNTIFS(Prüfanforderungen!$P$3:$P$181,$W127,Prüfanforderungen!$D$3:$D$181,"NGO / StiWa",Prüfanforderungen!$K$3:$K$181,"&gt;=0")=0,"Preis auf Anfrage",SUMIFS(Prüfanforderungen!$K$3:$K$181,Prüfanforderungen!$P$3:$P$181,$W127,Prüfanforderungen!$D$3:$D$181,"NGO / StiWa"))</f>
        <v>Preis auf Anfrage</v>
      </c>
      <c r="T127" s="11"/>
      <c r="U127" s="13"/>
      <c r="V127" s="13"/>
      <c r="W127" s="11" t="s">
        <v>668</v>
      </c>
    </row>
    <row r="128" customFormat="false" ht="46.25" hidden="false" customHeight="false" outlineLevel="0" collapsed="false">
      <c r="A128" s="11" t="s">
        <v>610</v>
      </c>
      <c r="B128" s="11" t="s">
        <v>669</v>
      </c>
      <c r="C128" s="12" t="s">
        <v>904</v>
      </c>
      <c r="D128" s="11" t="s">
        <v>670</v>
      </c>
      <c r="E128" s="11" t="str">
        <f aca="false">IF(COUNTIFS(Prüfanforderungen!$P$3:$P$181,$W128)=0,"keine Norm hinterlegt",IF($L128=0,"0 € hinterlegt",""))</f>
        <v/>
      </c>
      <c r="F128" s="12" t="s">
        <v>139</v>
      </c>
      <c r="G128" s="12"/>
      <c r="H128" s="12"/>
      <c r="I128" s="12" t="s">
        <v>42</v>
      </c>
      <c r="J128" s="12" t="s">
        <v>42</v>
      </c>
      <c r="K128" s="11" t="s">
        <v>50</v>
      </c>
      <c r="L128" s="13" t="str">
        <f aca="false">IF(COUNTIFS(Prüfanforderungen!$P$3:$P$181,$W128,Prüfanforderungen!$D$3:$D$181,"Sicherheit-/Normprüfung",Prüfanforderungen!$K$3:$K$181,"&gt;=0")=0,"Preis auf Anfrage",SUMIFS(Prüfanforderungen!$K$3:$K$181,Prüfanforderungen!$P$3:$P$181,$W128,Prüfanforderungen!$D$3:$D$181,"Sicherheit-/Normprüfung"))</f>
        <v>Preis auf Anfrage</v>
      </c>
      <c r="M128" s="11"/>
      <c r="N128" s="11" t="s">
        <v>815</v>
      </c>
      <c r="O128" s="11"/>
      <c r="P128" s="13" t="str">
        <f aca="false">IF(COUNTIFS(Prüfanforderungen!$P$3:$P$181,$W128,Prüfanforderungen!$D$3:$D$181,"FFU/Fitting",Prüfanforderungen!$K$3:$K$181,"&gt;=0")=0,"Preis auf Anfrage",SUMIFS(Prüfanforderungen!$K$3:$K$181,Prüfanforderungen!$P$3:$P$181,$W128,Prüfanforderungen!$D$3:$D$181,"FFU/Fitting"))</f>
        <v>Preis auf Anfrage</v>
      </c>
      <c r="Q128" s="11"/>
      <c r="R128" s="11"/>
      <c r="S128" s="13" t="str">
        <f aca="false">IF(COUNTIFS(Prüfanforderungen!$P$3:$P$181,$W128,Prüfanforderungen!$D$3:$D$181,"NGO / StiWa",Prüfanforderungen!$K$3:$K$181,"&gt;=0")=0,"Preis auf Anfrage",SUMIFS(Prüfanforderungen!$K$3:$K$181,Prüfanforderungen!$P$3:$P$181,$W128,Prüfanforderungen!$D$3:$D$181,"NGO / StiWa"))</f>
        <v>Preis auf Anfrage</v>
      </c>
      <c r="T128" s="11"/>
      <c r="U128" s="13"/>
      <c r="V128" s="13"/>
      <c r="W128" s="11" t="s">
        <v>671</v>
      </c>
    </row>
    <row r="129" customFormat="false" ht="46.25" hidden="false" customHeight="false" outlineLevel="0" collapsed="false">
      <c r="A129" s="11" t="s">
        <v>610</v>
      </c>
      <c r="B129" s="11" t="s">
        <v>672</v>
      </c>
      <c r="C129" s="12" t="s">
        <v>905</v>
      </c>
      <c r="D129" s="11" t="s">
        <v>673</v>
      </c>
      <c r="E129" s="11" t="str">
        <f aca="false">IF(COUNTIFS(Prüfanforderungen!$P$3:$P$181,$W129)=0,"keine Norm hinterlegt",IF($L129=0,"0 € hinterlegt",""))</f>
        <v/>
      </c>
      <c r="F129" s="12" t="s">
        <v>139</v>
      </c>
      <c r="G129" s="12"/>
      <c r="H129" s="12"/>
      <c r="I129" s="12" t="s">
        <v>42</v>
      </c>
      <c r="J129" s="12" t="s">
        <v>42</v>
      </c>
      <c r="K129" s="11" t="s">
        <v>50</v>
      </c>
      <c r="L129" s="13" t="n">
        <f aca="false">IF(COUNTIFS(Prüfanforderungen!$P$3:$P$181,$W129,Prüfanforderungen!$D$3:$D$181,"Sicherheit-/Normprüfung",Prüfanforderungen!$K$3:$K$181,"&gt;=0")=0,"Preis auf Anfrage",SUMIFS(Prüfanforderungen!$K$3:$K$181,Prüfanforderungen!$P$3:$P$181,$W129,Prüfanforderungen!$D$3:$D$181,"Sicherheit-/Normprüfung"))</f>
        <v>540</v>
      </c>
      <c r="M129" s="11"/>
      <c r="N129" s="11" t="s">
        <v>815</v>
      </c>
      <c r="O129" s="11"/>
      <c r="P129" s="13" t="str">
        <f aca="false">IF(COUNTIFS(Prüfanforderungen!$P$3:$P$181,$W129,Prüfanforderungen!$D$3:$D$181,"FFU/Fitting",Prüfanforderungen!$K$3:$K$181,"&gt;=0")=0,"Preis auf Anfrage",SUMIFS(Prüfanforderungen!$K$3:$K$181,Prüfanforderungen!$P$3:$P$181,$W129,Prüfanforderungen!$D$3:$D$181,"FFU/Fitting"))</f>
        <v>Preis auf Anfrage</v>
      </c>
      <c r="Q129" s="11"/>
      <c r="R129" s="11"/>
      <c r="S129" s="13" t="str">
        <f aca="false">IF(COUNTIFS(Prüfanforderungen!$P$3:$P$181,$W129,Prüfanforderungen!$D$3:$D$181,"NGO / StiWa",Prüfanforderungen!$K$3:$K$181,"&gt;=0")=0,"Preis auf Anfrage",SUMIFS(Prüfanforderungen!$K$3:$K$181,Prüfanforderungen!$P$3:$P$181,$W129,Prüfanforderungen!$D$3:$D$181,"NGO / StiWa"))</f>
        <v>Preis auf Anfrage</v>
      </c>
      <c r="T129" s="11"/>
      <c r="U129" s="13"/>
      <c r="V129" s="13"/>
      <c r="W129" s="11" t="s">
        <v>674</v>
      </c>
    </row>
    <row r="130" customFormat="false" ht="35.05" hidden="false" customHeight="false" outlineLevel="0" collapsed="false">
      <c r="A130" s="11" t="s">
        <v>675</v>
      </c>
      <c r="B130" s="11" t="s">
        <v>676</v>
      </c>
      <c r="C130" s="12" t="s">
        <v>906</v>
      </c>
      <c r="D130" s="11" t="s">
        <v>677</v>
      </c>
      <c r="E130" s="11" t="str">
        <f aca="false">IF(COUNTIFS(Prüfanforderungen!$P$3:$P$181,$W130)=0,"keine Norm hinterlegt",IF($L130=0,"0 € hinterlegt",""))</f>
        <v/>
      </c>
      <c r="F130" s="12" t="s">
        <v>139</v>
      </c>
      <c r="G130" s="12"/>
      <c r="H130" s="12"/>
      <c r="I130" s="12" t="s">
        <v>42</v>
      </c>
      <c r="J130" s="12" t="s">
        <v>42</v>
      </c>
      <c r="K130" s="11" t="s">
        <v>50</v>
      </c>
      <c r="L130" s="13" t="n">
        <f aca="false">IF(COUNTIFS(Prüfanforderungen!$P$3:$P$181,$W130,Prüfanforderungen!$D$3:$D$181,"Sicherheit-/Normprüfung",Prüfanforderungen!$K$3:$K$181,"&gt;=0")=0,"Preis auf Anfrage",SUMIFS(Prüfanforderungen!$K$3:$K$181,Prüfanforderungen!$P$3:$P$181,$W130,Prüfanforderungen!$D$3:$D$181,"Sicherheit-/Normprüfung"))</f>
        <v>540</v>
      </c>
      <c r="M130" s="11"/>
      <c r="N130" s="11" t="s">
        <v>815</v>
      </c>
      <c r="O130" s="11"/>
      <c r="P130" s="13" t="str">
        <f aca="false">IF(COUNTIFS(Prüfanforderungen!$P$3:$P$181,$W130,Prüfanforderungen!$D$3:$D$181,"FFU/Fitting",Prüfanforderungen!$K$3:$K$181,"&gt;=0")=0,"Preis auf Anfrage",SUMIFS(Prüfanforderungen!$K$3:$K$181,Prüfanforderungen!$P$3:$P$181,$W130,Prüfanforderungen!$D$3:$D$181,"FFU/Fitting"))</f>
        <v>Preis auf Anfrage</v>
      </c>
      <c r="Q130" s="11"/>
      <c r="R130" s="11"/>
      <c r="S130" s="13" t="str">
        <f aca="false">IF(COUNTIFS(Prüfanforderungen!$P$3:$P$181,$W130,Prüfanforderungen!$D$3:$D$181,"NGO / StiWa",Prüfanforderungen!$K$3:$K$181,"&gt;=0")=0,"Preis auf Anfrage",SUMIFS(Prüfanforderungen!$K$3:$K$181,Prüfanforderungen!$P$3:$P$181,$W130,Prüfanforderungen!$D$3:$D$181,"NGO / StiWa"))</f>
        <v>Preis auf Anfrage</v>
      </c>
      <c r="T130" s="11"/>
      <c r="U130" s="13"/>
      <c r="V130" s="13"/>
      <c r="W130" s="11" t="s">
        <v>678</v>
      </c>
    </row>
    <row r="131" customFormat="false" ht="46.25" hidden="false" customHeight="false" outlineLevel="0" collapsed="false">
      <c r="A131" s="11" t="s">
        <v>679</v>
      </c>
      <c r="B131" s="11" t="s">
        <v>680</v>
      </c>
      <c r="C131" s="12" t="s">
        <v>907</v>
      </c>
      <c r="D131" s="11" t="s">
        <v>681</v>
      </c>
      <c r="E131" s="11" t="str">
        <f aca="false">IF(COUNTIFS(Prüfanforderungen!$P$3:$P$181,$W131)=0,"keine Norm hinterlegt",IF($L131=0,"0 € hinterlegt",""))</f>
        <v>0 € hinterlegt</v>
      </c>
      <c r="F131" s="12" t="s">
        <v>139</v>
      </c>
      <c r="G131" s="12" t="n">
        <v>2</v>
      </c>
      <c r="H131" s="12"/>
      <c r="I131" s="12" t="s">
        <v>42</v>
      </c>
      <c r="J131" s="12" t="s">
        <v>42</v>
      </c>
      <c r="K131" s="11" t="s">
        <v>50</v>
      </c>
      <c r="L131" s="13" t="n">
        <f aca="false">IF(COUNTIFS(Prüfanforderungen!$P$3:$P$181,$W131,Prüfanforderungen!$D$3:$D$181,"Sicherheit-/Normprüfung",Prüfanforderungen!$K$3:$K$181,"&gt;=0")=0,"Preis auf Anfrage",SUMIFS(Prüfanforderungen!$K$3:$K$181,Prüfanforderungen!$P$3:$P$181,$W131,Prüfanforderungen!$D$3:$D$181,"Sicherheit-/Normprüfung"))</f>
        <v>0</v>
      </c>
      <c r="M131" s="11"/>
      <c r="N131" s="11" t="s">
        <v>815</v>
      </c>
      <c r="O131" s="11"/>
      <c r="P131" s="13" t="str">
        <f aca="false">IF(COUNTIFS(Prüfanforderungen!$P$3:$P$181,$W131,Prüfanforderungen!$D$3:$D$181,"FFU/Fitting",Prüfanforderungen!$K$3:$K$181,"&gt;=0")=0,"Preis auf Anfrage",SUMIFS(Prüfanforderungen!$K$3:$K$181,Prüfanforderungen!$P$3:$P$181,$W131,Prüfanforderungen!$D$3:$D$181,"FFU/Fitting"))</f>
        <v>Preis auf Anfrage</v>
      </c>
      <c r="Q131" s="11"/>
      <c r="R131" s="11"/>
      <c r="S131" s="13" t="str">
        <f aca="false">IF(COUNTIFS(Prüfanforderungen!$P$3:$P$181,$W131,Prüfanforderungen!$D$3:$D$181,"NGO / StiWa",Prüfanforderungen!$K$3:$K$181,"&gt;=0")=0,"Preis auf Anfrage",SUMIFS(Prüfanforderungen!$K$3:$K$181,Prüfanforderungen!$P$3:$P$181,$W131,Prüfanforderungen!$D$3:$D$181,"NGO / StiWa"))</f>
        <v>Preis auf Anfrage</v>
      </c>
      <c r="T131" s="11"/>
      <c r="U131" s="13"/>
      <c r="V131" s="13" t="n">
        <v>480</v>
      </c>
      <c r="W131" s="11" t="s">
        <v>682</v>
      </c>
    </row>
    <row r="132" customFormat="false" ht="46.25" hidden="false" customHeight="false" outlineLevel="0" collapsed="false">
      <c r="A132" s="11" t="s">
        <v>679</v>
      </c>
      <c r="B132" s="11" t="s">
        <v>680</v>
      </c>
      <c r="C132" s="12" t="s">
        <v>907</v>
      </c>
      <c r="D132" s="11" t="s">
        <v>683</v>
      </c>
      <c r="E132" s="11" t="str">
        <f aca="false">IF(COUNTIFS(Prüfanforderungen!$P$3:$P$181,$W132)=0,"keine Norm hinterlegt",IF($L132=0,"0 € hinterlegt",""))</f>
        <v>0 € hinterlegt</v>
      </c>
      <c r="F132" s="12" t="s">
        <v>139</v>
      </c>
      <c r="G132" s="12" t="n">
        <v>2</v>
      </c>
      <c r="H132" s="12"/>
      <c r="I132" s="12" t="s">
        <v>42</v>
      </c>
      <c r="J132" s="12" t="s">
        <v>42</v>
      </c>
      <c r="K132" s="11" t="s">
        <v>75</v>
      </c>
      <c r="L132" s="13" t="n">
        <f aca="false">IF(COUNTIFS(Prüfanforderungen!$P$3:$P$181,$W132,Prüfanforderungen!$D$3:$D$181,"Sicherheit-/Normprüfung",Prüfanforderungen!$K$3:$K$181,"&gt;=0")=0,"Preis auf Anfrage",SUMIFS(Prüfanforderungen!$K$3:$K$181,Prüfanforderungen!$P$3:$P$181,$W132,Prüfanforderungen!$D$3:$D$181,"Sicherheit-/Normprüfung"))</f>
        <v>0</v>
      </c>
      <c r="M132" s="11"/>
      <c r="N132" s="11"/>
      <c r="O132" s="11"/>
      <c r="P132" s="13" t="str">
        <f aca="false">IF(COUNTIFS(Prüfanforderungen!$P$3:$P$181,$W132,Prüfanforderungen!$D$3:$D$181,"FFU/Fitting",Prüfanforderungen!$K$3:$K$181,"&gt;=0")=0,"Preis auf Anfrage",SUMIFS(Prüfanforderungen!$K$3:$K$181,Prüfanforderungen!$P$3:$P$181,$W132,Prüfanforderungen!$D$3:$D$181,"FFU/Fitting"))</f>
        <v>Preis auf Anfrage</v>
      </c>
      <c r="Q132" s="11"/>
      <c r="R132" s="11"/>
      <c r="S132" s="13" t="str">
        <f aca="false">IF(COUNTIFS(Prüfanforderungen!$P$3:$P$181,$W132,Prüfanforderungen!$D$3:$D$181,"NGO / StiWa",Prüfanforderungen!$K$3:$K$181,"&gt;=0")=0,"Preis auf Anfrage",SUMIFS(Prüfanforderungen!$K$3:$K$181,Prüfanforderungen!$P$3:$P$181,$W132,Prüfanforderungen!$D$3:$D$181,"NGO / StiWa"))</f>
        <v>Preis auf Anfrage</v>
      </c>
      <c r="T132" s="11"/>
      <c r="U132" s="13"/>
      <c r="V132" s="13" t="n">
        <v>960</v>
      </c>
      <c r="W132" s="11" t="s">
        <v>684</v>
      </c>
    </row>
    <row r="133" customFormat="false" ht="46.25" hidden="false" customHeight="false" outlineLevel="0" collapsed="false">
      <c r="A133" s="11" t="s">
        <v>679</v>
      </c>
      <c r="B133" s="11" t="s">
        <v>680</v>
      </c>
      <c r="C133" s="12" t="s">
        <v>907</v>
      </c>
      <c r="D133" s="11" t="s">
        <v>685</v>
      </c>
      <c r="E133" s="11" t="str">
        <f aca="false">IF(COUNTIFS(Prüfanforderungen!$P$3:$P$181,$W133)=0,"keine Norm hinterlegt",IF($L133=0,"0 € hinterlegt",""))</f>
        <v>0 € hinterlegt</v>
      </c>
      <c r="F133" s="12" t="s">
        <v>42</v>
      </c>
      <c r="G133" s="12" t="n">
        <v>1</v>
      </c>
      <c r="H133" s="12"/>
      <c r="I133" s="12" t="s">
        <v>42</v>
      </c>
      <c r="J133" s="12" t="s">
        <v>42</v>
      </c>
      <c r="K133" s="11" t="s">
        <v>231</v>
      </c>
      <c r="L133" s="13" t="n">
        <f aca="false">IF(COUNTIFS(Prüfanforderungen!$P$3:$P$181,$W133,Prüfanforderungen!$D$3:$D$181,"Sicherheit-/Normprüfung",Prüfanforderungen!$K$3:$K$181,"&gt;=0")=0,"Preis auf Anfrage",SUMIFS(Prüfanforderungen!$K$3:$K$181,Prüfanforderungen!$P$3:$P$181,$W133,Prüfanforderungen!$D$3:$D$181,"Sicherheit-/Normprüfung"))</f>
        <v>0</v>
      </c>
      <c r="M133" s="11"/>
      <c r="N133" s="11" t="s">
        <v>908</v>
      </c>
      <c r="O133" s="11"/>
      <c r="P133" s="13" t="str">
        <f aca="false">IF(COUNTIFS(Prüfanforderungen!$P$3:$P$181,$W133,Prüfanforderungen!$D$3:$D$181,"FFU/Fitting",Prüfanforderungen!$K$3:$K$181,"&gt;=0")=0,"Preis auf Anfrage",SUMIFS(Prüfanforderungen!$K$3:$K$181,Prüfanforderungen!$P$3:$P$181,$W133,Prüfanforderungen!$D$3:$D$181,"FFU/Fitting"))</f>
        <v>Preis auf Anfrage</v>
      </c>
      <c r="Q133" s="11"/>
      <c r="R133" s="11"/>
      <c r="S133" s="13" t="str">
        <f aca="false">IF(COUNTIFS(Prüfanforderungen!$P$3:$P$181,$W133,Prüfanforderungen!$D$3:$D$181,"NGO / StiWa",Prüfanforderungen!$K$3:$K$181,"&gt;=0")=0,"Preis auf Anfrage",SUMIFS(Prüfanforderungen!$K$3:$K$181,Prüfanforderungen!$P$3:$P$181,$W133,Prüfanforderungen!$D$3:$D$181,"NGO / StiWa"))</f>
        <v>Preis auf Anfrage</v>
      </c>
      <c r="T133" s="11"/>
      <c r="U133" s="13"/>
      <c r="V133" s="13" t="n">
        <v>350</v>
      </c>
      <c r="W133" s="11" t="s">
        <v>686</v>
      </c>
    </row>
    <row r="134" customFormat="false" ht="46.25" hidden="false" customHeight="false" outlineLevel="0" collapsed="false">
      <c r="A134" s="11" t="s">
        <v>679</v>
      </c>
      <c r="B134" s="11" t="s">
        <v>909</v>
      </c>
      <c r="C134" s="12" t="s">
        <v>910</v>
      </c>
      <c r="D134" s="11" t="s">
        <v>911</v>
      </c>
      <c r="E134" s="11" t="str">
        <f aca="false">IF(COUNTIFS(Prüfanforderungen!$P$3:$P$181,$W134)=0,"keine Norm hinterlegt",IF($L134=0,"0 € hinterlegt",""))</f>
        <v>keine Norm hinterlegt</v>
      </c>
      <c r="F134" s="12" t="s">
        <v>42</v>
      </c>
      <c r="G134" s="12"/>
      <c r="H134" s="12"/>
      <c r="I134" s="12" t="s">
        <v>42</v>
      </c>
      <c r="J134" s="12" t="s">
        <v>42</v>
      </c>
      <c r="K134" s="11"/>
      <c r="L134" s="13" t="str">
        <f aca="false">IF(COUNTIFS(Prüfanforderungen!$P$3:$P$181,$W134,Prüfanforderungen!$D$3:$D$181,"Sicherheit-/Normprüfung",Prüfanforderungen!$K$3:$K$181,"&gt;=0")=0,"Preis auf Anfrage",SUMIFS(Prüfanforderungen!$K$3:$K$181,Prüfanforderungen!$P$3:$P$181,$W134,Prüfanforderungen!$D$3:$D$181,"Sicherheit-/Normprüfung"))</f>
        <v>Preis auf Anfrage</v>
      </c>
      <c r="M134" s="11"/>
      <c r="N134" s="11"/>
      <c r="O134" s="11"/>
      <c r="P134" s="13" t="str">
        <f aca="false">IF(COUNTIFS(Prüfanforderungen!$P$3:$P$181,$W134,Prüfanforderungen!$D$3:$D$181,"FFU/Fitting",Prüfanforderungen!$K$3:$K$181,"&gt;=0")=0,"Preis auf Anfrage",SUMIFS(Prüfanforderungen!$K$3:$K$181,Prüfanforderungen!$P$3:$P$181,$W134,Prüfanforderungen!$D$3:$D$181,"FFU/Fitting"))</f>
        <v>Preis auf Anfrage</v>
      </c>
      <c r="Q134" s="11"/>
      <c r="R134" s="11"/>
      <c r="S134" s="13" t="str">
        <f aca="false">IF(COUNTIFS(Prüfanforderungen!$P$3:$P$181,$W134,Prüfanforderungen!$D$3:$D$181,"NGO / StiWa",Prüfanforderungen!$K$3:$K$181,"&gt;=0")=0,"Preis auf Anfrage",SUMIFS(Prüfanforderungen!$K$3:$K$181,Prüfanforderungen!$P$3:$P$181,$W134,Prüfanforderungen!$D$3:$D$181,"NGO / StiWa"))</f>
        <v>Preis auf Anfrage</v>
      </c>
      <c r="T134" s="11"/>
      <c r="U134" s="13"/>
      <c r="V134" s="13"/>
      <c r="W134" s="11" t="s">
        <v>912</v>
      </c>
    </row>
    <row r="135" customFormat="false" ht="46.25" hidden="false" customHeight="false" outlineLevel="0" collapsed="false">
      <c r="A135" s="11" t="s">
        <v>679</v>
      </c>
      <c r="B135" s="11" t="s">
        <v>687</v>
      </c>
      <c r="C135" s="12" t="s">
        <v>913</v>
      </c>
      <c r="D135" s="11" t="s">
        <v>688</v>
      </c>
      <c r="E135" s="11" t="str">
        <f aca="false">IF(COUNTIFS(Prüfanforderungen!$P$3:$P$181,$W135)=0,"keine Norm hinterlegt",IF($L135=0,"0 € hinterlegt",""))</f>
        <v>0 € hinterlegt</v>
      </c>
      <c r="F135" s="12" t="s">
        <v>42</v>
      </c>
      <c r="G135" s="12" t="n">
        <v>3</v>
      </c>
      <c r="H135" s="12"/>
      <c r="I135" s="12" t="s">
        <v>42</v>
      </c>
      <c r="J135" s="12" t="s">
        <v>42</v>
      </c>
      <c r="K135" s="11" t="s">
        <v>157</v>
      </c>
      <c r="L135" s="13" t="n">
        <f aca="false">IF(COUNTIFS(Prüfanforderungen!$P$3:$P$181,$W135,Prüfanforderungen!$D$3:$D$181,"Sicherheit-/Normprüfung",Prüfanforderungen!$K$3:$K$181,"&gt;=0")=0,"Preis auf Anfrage",SUMIFS(Prüfanforderungen!$K$3:$K$181,Prüfanforderungen!$P$3:$P$181,$W135,Prüfanforderungen!$D$3:$D$181,"Sicherheit-/Normprüfung"))</f>
        <v>0</v>
      </c>
      <c r="M135" s="11"/>
      <c r="N135" s="11" t="s">
        <v>914</v>
      </c>
      <c r="O135" s="11" t="s">
        <v>274</v>
      </c>
      <c r="P135" s="13" t="n">
        <f aca="false">IF(COUNTIFS(Prüfanforderungen!$P$3:$P$181,$W135,Prüfanforderungen!$D$3:$D$181,"FFU/Fitting",Prüfanforderungen!$K$3:$K$181,"&gt;=0")=0,"Preis auf Anfrage",SUMIFS(Prüfanforderungen!$K$3:$K$181,Prüfanforderungen!$P$3:$P$181,$W135,Prüfanforderungen!$D$3:$D$181,"FFU/Fitting"))</f>
        <v>960</v>
      </c>
      <c r="Q135" s="11"/>
      <c r="R135" s="11"/>
      <c r="S135" s="13" t="str">
        <f aca="false">IF(COUNTIFS(Prüfanforderungen!$P$3:$P$181,$W135,Prüfanforderungen!$D$3:$D$181,"NGO / StiWa",Prüfanforderungen!$K$3:$K$181,"&gt;=0")=0,"Preis auf Anfrage",SUMIFS(Prüfanforderungen!$K$3:$K$181,Prüfanforderungen!$P$3:$P$181,$W135,Prüfanforderungen!$D$3:$D$181,"NGO / StiWa"))</f>
        <v>Preis auf Anfrage</v>
      </c>
      <c r="T135" s="11"/>
      <c r="U135" s="13" t="n">
        <v>960</v>
      </c>
      <c r="V135" s="13"/>
      <c r="W135" s="11" t="s">
        <v>689</v>
      </c>
    </row>
    <row r="136" customFormat="false" ht="46.25" hidden="false" customHeight="false" outlineLevel="0" collapsed="false">
      <c r="A136" s="11" t="s">
        <v>679</v>
      </c>
      <c r="B136" s="11" t="s">
        <v>690</v>
      </c>
      <c r="C136" s="12" t="s">
        <v>915</v>
      </c>
      <c r="D136" s="11" t="s">
        <v>691</v>
      </c>
      <c r="E136" s="11" t="str">
        <f aca="false">IF(COUNTIFS(Prüfanforderungen!$P$3:$P$181,$W136)=0,"keine Norm hinterlegt",IF($L136=0,"0 € hinterlegt",""))</f>
        <v/>
      </c>
      <c r="F136" s="12" t="s">
        <v>139</v>
      </c>
      <c r="G136" s="12"/>
      <c r="H136" s="12"/>
      <c r="I136" s="12" t="s">
        <v>42</v>
      </c>
      <c r="J136" s="12" t="s">
        <v>42</v>
      </c>
      <c r="K136" s="11" t="s">
        <v>50</v>
      </c>
      <c r="L136" s="13" t="n">
        <f aca="false">IF(COUNTIFS(Prüfanforderungen!$P$3:$P$181,$W136,Prüfanforderungen!$D$3:$D$181,"Sicherheit-/Normprüfung",Prüfanforderungen!$K$3:$K$181,"&gt;=0")=0,"Preis auf Anfrage",SUMIFS(Prüfanforderungen!$K$3:$K$181,Prüfanforderungen!$P$3:$P$181,$W136,Prüfanforderungen!$D$3:$D$181,"Sicherheit-/Normprüfung"))</f>
        <v>540</v>
      </c>
      <c r="M136" s="11"/>
      <c r="N136" s="11" t="s">
        <v>815</v>
      </c>
      <c r="O136" s="11"/>
      <c r="P136" s="13" t="str">
        <f aca="false">IF(COUNTIFS(Prüfanforderungen!$P$3:$P$181,$W136,Prüfanforderungen!$D$3:$D$181,"FFU/Fitting",Prüfanforderungen!$K$3:$K$181,"&gt;=0")=0,"Preis auf Anfrage",SUMIFS(Prüfanforderungen!$K$3:$K$181,Prüfanforderungen!$P$3:$P$181,$W136,Prüfanforderungen!$D$3:$D$181,"FFU/Fitting"))</f>
        <v>Preis auf Anfrage</v>
      </c>
      <c r="Q136" s="11"/>
      <c r="R136" s="11"/>
      <c r="S136" s="13" t="str">
        <f aca="false">IF(COUNTIFS(Prüfanforderungen!$P$3:$P$181,$W136,Prüfanforderungen!$D$3:$D$181,"NGO / StiWa",Prüfanforderungen!$K$3:$K$181,"&gt;=0")=0,"Preis auf Anfrage",SUMIFS(Prüfanforderungen!$K$3:$K$181,Prüfanforderungen!$P$3:$P$181,$W136,Prüfanforderungen!$D$3:$D$181,"NGO / StiWa"))</f>
        <v>Preis auf Anfrage</v>
      </c>
      <c r="T136" s="11"/>
      <c r="U136" s="13"/>
      <c r="V136" s="13"/>
      <c r="W136" s="11" t="s">
        <v>692</v>
      </c>
    </row>
    <row r="137" customFormat="false" ht="46.25" hidden="false" customHeight="false" outlineLevel="0" collapsed="false">
      <c r="A137" s="11" t="s">
        <v>679</v>
      </c>
      <c r="B137" s="11" t="s">
        <v>916</v>
      </c>
      <c r="C137" s="12" t="s">
        <v>917</v>
      </c>
      <c r="D137" s="11" t="s">
        <v>918</v>
      </c>
      <c r="E137" s="11" t="str">
        <f aca="false">IF(COUNTIFS(Prüfanforderungen!$P$3:$P$181,$W137)=0,"keine Norm hinterlegt",IF($L137=0,"0 € hinterlegt",""))</f>
        <v>keine Norm hinterlegt</v>
      </c>
      <c r="F137" s="12" t="s">
        <v>42</v>
      </c>
      <c r="G137" s="12"/>
      <c r="H137" s="12"/>
      <c r="I137" s="12" t="s">
        <v>42</v>
      </c>
      <c r="J137" s="12" t="s">
        <v>42</v>
      </c>
      <c r="K137" s="11"/>
      <c r="L137" s="13" t="str">
        <f aca="false">IF(COUNTIFS(Prüfanforderungen!$P$3:$P$181,$W137,Prüfanforderungen!$D$3:$D$181,"Sicherheit-/Normprüfung",Prüfanforderungen!$K$3:$K$181,"&gt;=0")=0,"Preis auf Anfrage",SUMIFS(Prüfanforderungen!$K$3:$K$181,Prüfanforderungen!$P$3:$P$181,$W137,Prüfanforderungen!$D$3:$D$181,"Sicherheit-/Normprüfung"))</f>
        <v>Preis auf Anfrage</v>
      </c>
      <c r="M137" s="11"/>
      <c r="N137" s="11"/>
      <c r="O137" s="11"/>
      <c r="P137" s="13" t="str">
        <f aca="false">IF(COUNTIFS(Prüfanforderungen!$P$3:$P$181,$W137,Prüfanforderungen!$D$3:$D$181,"FFU/Fitting",Prüfanforderungen!$K$3:$K$181,"&gt;=0")=0,"Preis auf Anfrage",SUMIFS(Prüfanforderungen!$K$3:$K$181,Prüfanforderungen!$P$3:$P$181,$W137,Prüfanforderungen!$D$3:$D$181,"FFU/Fitting"))</f>
        <v>Preis auf Anfrage</v>
      </c>
      <c r="Q137" s="11"/>
      <c r="R137" s="11"/>
      <c r="S137" s="13" t="str">
        <f aca="false">IF(COUNTIFS(Prüfanforderungen!$P$3:$P$181,$W137,Prüfanforderungen!$D$3:$D$181,"NGO / StiWa",Prüfanforderungen!$K$3:$K$181,"&gt;=0")=0,"Preis auf Anfrage",SUMIFS(Prüfanforderungen!$K$3:$K$181,Prüfanforderungen!$P$3:$P$181,$W137,Prüfanforderungen!$D$3:$D$181,"NGO / StiWa"))</f>
        <v>Preis auf Anfrage</v>
      </c>
      <c r="T137" s="11"/>
      <c r="U137" s="13"/>
      <c r="V137" s="13"/>
      <c r="W137" s="11" t="s">
        <v>919</v>
      </c>
    </row>
    <row r="138" customFormat="false" ht="46.25" hidden="false" customHeight="false" outlineLevel="0" collapsed="false">
      <c r="A138" s="11" t="s">
        <v>679</v>
      </c>
      <c r="B138" s="11" t="s">
        <v>693</v>
      </c>
      <c r="C138" s="12" t="s">
        <v>920</v>
      </c>
      <c r="D138" s="11" t="s">
        <v>694</v>
      </c>
      <c r="E138" s="11" t="str">
        <f aca="false">IF(COUNTIFS(Prüfanforderungen!$P$3:$P$181,$W138)=0,"keine Norm hinterlegt",IF($L138=0,"0 € hinterlegt",""))</f>
        <v/>
      </c>
      <c r="F138" s="12" t="s">
        <v>42</v>
      </c>
      <c r="G138" s="12"/>
      <c r="H138" s="12"/>
      <c r="I138" s="12" t="s">
        <v>42</v>
      </c>
      <c r="J138" s="12" t="s">
        <v>42</v>
      </c>
      <c r="K138" s="11" t="s">
        <v>151</v>
      </c>
      <c r="L138" s="13" t="n">
        <f aca="false">IF(COUNTIFS(Prüfanforderungen!$P$3:$P$181,$W138,Prüfanforderungen!$D$3:$D$181,"Sicherheit-/Normprüfung",Prüfanforderungen!$K$3:$K$181,"&gt;=0")=0,"Preis auf Anfrage",SUMIFS(Prüfanforderungen!$K$3:$K$181,Prüfanforderungen!$P$3:$P$181,$W138,Prüfanforderungen!$D$3:$D$181,"Sicherheit-/Normprüfung"))</f>
        <v>1810</v>
      </c>
      <c r="M138" s="11"/>
      <c r="N138" s="11"/>
      <c r="O138" s="11"/>
      <c r="P138" s="13" t="str">
        <f aca="false">IF(COUNTIFS(Prüfanforderungen!$P$3:$P$181,$W138,Prüfanforderungen!$D$3:$D$181,"FFU/Fitting",Prüfanforderungen!$K$3:$K$181,"&gt;=0")=0,"Preis auf Anfrage",SUMIFS(Prüfanforderungen!$K$3:$K$181,Prüfanforderungen!$P$3:$P$181,$W138,Prüfanforderungen!$D$3:$D$181,"FFU/Fitting"))</f>
        <v>Preis auf Anfrage</v>
      </c>
      <c r="Q138" s="11"/>
      <c r="R138" s="11"/>
      <c r="S138" s="13" t="str">
        <f aca="false">IF(COUNTIFS(Prüfanforderungen!$P$3:$P$181,$W138,Prüfanforderungen!$D$3:$D$181,"NGO / StiWa",Prüfanforderungen!$K$3:$K$181,"&gt;=0")=0,"Preis auf Anfrage",SUMIFS(Prüfanforderungen!$K$3:$K$181,Prüfanforderungen!$P$3:$P$181,$W138,Prüfanforderungen!$D$3:$D$181,"NGO / StiWa"))</f>
        <v>Preis auf Anfrage</v>
      </c>
      <c r="T138" s="11"/>
      <c r="U138" s="13"/>
      <c r="V138" s="13"/>
      <c r="W138" s="11" t="s">
        <v>695</v>
      </c>
    </row>
    <row r="139" customFormat="false" ht="46.25" hidden="false" customHeight="false" outlineLevel="0" collapsed="false">
      <c r="A139" s="11" t="s">
        <v>679</v>
      </c>
      <c r="B139" s="11" t="s">
        <v>693</v>
      </c>
      <c r="C139" s="12" t="s">
        <v>920</v>
      </c>
      <c r="D139" s="11" t="s">
        <v>696</v>
      </c>
      <c r="E139" s="11" t="str">
        <f aca="false">IF(COUNTIFS(Prüfanforderungen!$P$3:$P$181,$W139)=0,"keine Norm hinterlegt",IF($L139=0,"0 € hinterlegt",""))</f>
        <v>0 € hinterlegt</v>
      </c>
      <c r="F139" s="12" t="s">
        <v>139</v>
      </c>
      <c r="G139" s="12"/>
      <c r="H139" s="12"/>
      <c r="I139" s="12" t="s">
        <v>42</v>
      </c>
      <c r="J139" s="12" t="s">
        <v>42</v>
      </c>
      <c r="K139" s="11" t="s">
        <v>50</v>
      </c>
      <c r="L139" s="13" t="n">
        <f aca="false">IF(COUNTIFS(Prüfanforderungen!$P$3:$P$181,$W139,Prüfanforderungen!$D$3:$D$181,"Sicherheit-/Normprüfung",Prüfanforderungen!$K$3:$K$181,"&gt;=0")=0,"Preis auf Anfrage",SUMIFS(Prüfanforderungen!$K$3:$K$181,Prüfanforderungen!$P$3:$P$181,$W139,Prüfanforderungen!$D$3:$D$181,"Sicherheit-/Normprüfung"))</f>
        <v>0</v>
      </c>
      <c r="M139" s="11"/>
      <c r="N139" s="11" t="s">
        <v>815</v>
      </c>
      <c r="O139" s="11"/>
      <c r="P139" s="13" t="str">
        <f aca="false">IF(COUNTIFS(Prüfanforderungen!$P$3:$P$181,$W139,Prüfanforderungen!$D$3:$D$181,"FFU/Fitting",Prüfanforderungen!$K$3:$K$181,"&gt;=0")=0,"Preis auf Anfrage",SUMIFS(Prüfanforderungen!$K$3:$K$181,Prüfanforderungen!$P$3:$P$181,$W139,Prüfanforderungen!$D$3:$D$181,"FFU/Fitting"))</f>
        <v>Preis auf Anfrage</v>
      </c>
      <c r="Q139" s="11"/>
      <c r="R139" s="11"/>
      <c r="S139" s="13" t="str">
        <f aca="false">IF(COUNTIFS(Prüfanforderungen!$P$3:$P$181,$W139,Prüfanforderungen!$D$3:$D$181,"NGO / StiWa",Prüfanforderungen!$K$3:$K$181,"&gt;=0")=0,"Preis auf Anfrage",SUMIFS(Prüfanforderungen!$K$3:$K$181,Prüfanforderungen!$P$3:$P$181,$W139,Prüfanforderungen!$D$3:$D$181,"NGO / StiWa"))</f>
        <v>Preis auf Anfrage</v>
      </c>
      <c r="T139" s="11"/>
      <c r="U139" s="13"/>
      <c r="V139" s="13"/>
      <c r="W139" s="11" t="s">
        <v>697</v>
      </c>
    </row>
    <row r="140" customFormat="false" ht="46.25" hidden="false" customHeight="false" outlineLevel="0" collapsed="false">
      <c r="A140" s="11" t="s">
        <v>679</v>
      </c>
      <c r="B140" s="11" t="s">
        <v>693</v>
      </c>
      <c r="C140" s="12" t="s">
        <v>920</v>
      </c>
      <c r="D140" s="11" t="s">
        <v>698</v>
      </c>
      <c r="E140" s="11" t="str">
        <f aca="false">IF(COUNTIFS(Prüfanforderungen!$P$3:$P$181,$W140)=0,"keine Norm hinterlegt",IF($L140=0,"0 € hinterlegt",""))</f>
        <v/>
      </c>
      <c r="F140" s="12" t="s">
        <v>42</v>
      </c>
      <c r="G140" s="12"/>
      <c r="H140" s="12"/>
      <c r="I140" s="12" t="s">
        <v>42</v>
      </c>
      <c r="J140" s="12" t="s">
        <v>42</v>
      </c>
      <c r="K140" s="11" t="s">
        <v>160</v>
      </c>
      <c r="L140" s="13" t="n">
        <f aca="false">IF(COUNTIFS(Prüfanforderungen!$P$3:$P$181,$W140,Prüfanforderungen!$D$3:$D$181,"Sicherheit-/Normprüfung",Prüfanforderungen!$K$3:$K$181,"&gt;=0")=0,"Preis auf Anfrage",SUMIFS(Prüfanforderungen!$K$3:$K$181,Prüfanforderungen!$P$3:$P$181,$W140,Prüfanforderungen!$D$3:$D$181,"Sicherheit-/Normprüfung"))</f>
        <v>1510</v>
      </c>
      <c r="M140" s="11"/>
      <c r="N140" s="11"/>
      <c r="O140" s="11"/>
      <c r="P140" s="13" t="str">
        <f aca="false">IF(COUNTIFS(Prüfanforderungen!$P$3:$P$181,$W140,Prüfanforderungen!$D$3:$D$181,"FFU/Fitting",Prüfanforderungen!$K$3:$K$181,"&gt;=0")=0,"Preis auf Anfrage",SUMIFS(Prüfanforderungen!$K$3:$K$181,Prüfanforderungen!$P$3:$P$181,$W140,Prüfanforderungen!$D$3:$D$181,"FFU/Fitting"))</f>
        <v>Preis auf Anfrage</v>
      </c>
      <c r="Q140" s="11"/>
      <c r="R140" s="11"/>
      <c r="S140" s="13" t="str">
        <f aca="false">IF(COUNTIFS(Prüfanforderungen!$P$3:$P$181,$W140,Prüfanforderungen!$D$3:$D$181,"NGO / StiWa",Prüfanforderungen!$K$3:$K$181,"&gt;=0")=0,"Preis auf Anfrage",SUMIFS(Prüfanforderungen!$K$3:$K$181,Prüfanforderungen!$P$3:$P$181,$W140,Prüfanforderungen!$D$3:$D$181,"NGO / StiWa"))</f>
        <v>Preis auf Anfrage</v>
      </c>
      <c r="T140" s="11"/>
      <c r="U140" s="13"/>
      <c r="V140" s="13"/>
      <c r="W140" s="11" t="s">
        <v>699</v>
      </c>
    </row>
    <row r="141" customFormat="false" ht="68.65" hidden="false" customHeight="false" outlineLevel="0" collapsed="false">
      <c r="A141" s="11" t="s">
        <v>679</v>
      </c>
      <c r="B141" s="11" t="s">
        <v>693</v>
      </c>
      <c r="C141" s="12" t="s">
        <v>920</v>
      </c>
      <c r="D141" s="11" t="s">
        <v>700</v>
      </c>
      <c r="E141" s="11" t="str">
        <f aca="false">IF(COUNTIFS(Prüfanforderungen!$P$3:$P$181,$W141)=0,"keine Norm hinterlegt",IF($L141=0,"0 € hinterlegt",""))</f>
        <v>0 € hinterlegt</v>
      </c>
      <c r="F141" s="12" t="s">
        <v>42</v>
      </c>
      <c r="G141" s="12" t="n">
        <v>5</v>
      </c>
      <c r="H141" s="12"/>
      <c r="I141" s="12" t="s">
        <v>42</v>
      </c>
      <c r="J141" s="12" t="s">
        <v>42</v>
      </c>
      <c r="K141" s="11" t="s">
        <v>241</v>
      </c>
      <c r="L141" s="13" t="n">
        <f aca="false">IF(COUNTIFS(Prüfanforderungen!$P$3:$P$181,$W141,Prüfanforderungen!$D$3:$D$181,"Sicherheit-/Normprüfung",Prüfanforderungen!$K$3:$K$181,"&gt;=0")=0,"Preis auf Anfrage",SUMIFS(Prüfanforderungen!$K$3:$K$181,Prüfanforderungen!$P$3:$P$181,$W141,Prüfanforderungen!$D$3:$D$181,"Sicherheit-/Normprüfung"))</f>
        <v>0</v>
      </c>
      <c r="M141" s="11"/>
      <c r="N141" s="11" t="s">
        <v>921</v>
      </c>
      <c r="O141" s="11" t="s">
        <v>205</v>
      </c>
      <c r="P141" s="13" t="n">
        <f aca="false">IF(COUNTIFS(Prüfanforderungen!$P$3:$P$181,$W141,Prüfanforderungen!$D$3:$D$181,"FFU/Fitting",Prüfanforderungen!$K$3:$K$181,"&gt;=0")=0,"Preis auf Anfrage",SUMIFS(Prüfanforderungen!$K$3:$K$181,Prüfanforderungen!$P$3:$P$181,$W141,Prüfanforderungen!$D$3:$D$181,"FFU/Fitting"))</f>
        <v>900</v>
      </c>
      <c r="Q141" s="11"/>
      <c r="R141" s="11"/>
      <c r="S141" s="13" t="str">
        <f aca="false">IF(COUNTIFS(Prüfanforderungen!$P$3:$P$181,$W141,Prüfanforderungen!$D$3:$D$181,"NGO / StiWa",Prüfanforderungen!$K$3:$K$181,"&gt;=0")=0,"Preis auf Anfrage",SUMIFS(Prüfanforderungen!$K$3:$K$181,Prüfanforderungen!$P$3:$P$181,$W141,Prüfanforderungen!$D$3:$D$181,"NGO / StiWa"))</f>
        <v>Preis auf Anfrage</v>
      </c>
      <c r="T141" s="11"/>
      <c r="U141" s="13"/>
      <c r="V141" s="13" t="n">
        <v>450</v>
      </c>
      <c r="W141" s="11" t="s">
        <v>701</v>
      </c>
    </row>
    <row r="142" customFormat="false" ht="46.25" hidden="false" customHeight="false" outlineLevel="0" collapsed="false">
      <c r="A142" s="11" t="s">
        <v>679</v>
      </c>
      <c r="B142" s="11" t="s">
        <v>693</v>
      </c>
      <c r="C142" s="12" t="s">
        <v>920</v>
      </c>
      <c r="D142" s="11" t="s">
        <v>702</v>
      </c>
      <c r="E142" s="11" t="str">
        <f aca="false">IF(COUNTIFS(Prüfanforderungen!$P$3:$P$181,$W142)=0,"keine Norm hinterlegt",IF($L142=0,"0 € hinterlegt",""))</f>
        <v/>
      </c>
      <c r="F142" s="12" t="s">
        <v>42</v>
      </c>
      <c r="G142" s="12"/>
      <c r="H142" s="12"/>
      <c r="I142" s="12" t="s">
        <v>42</v>
      </c>
      <c r="J142" s="12" t="s">
        <v>42</v>
      </c>
      <c r="K142" s="11" t="s">
        <v>153</v>
      </c>
      <c r="L142" s="13" t="n">
        <f aca="false">IF(COUNTIFS(Prüfanforderungen!$P$3:$P$181,$W142,Prüfanforderungen!$D$3:$D$181,"Sicherheit-/Normprüfung",Prüfanforderungen!$K$3:$K$181,"&gt;=0")=0,"Preis auf Anfrage",SUMIFS(Prüfanforderungen!$K$3:$K$181,Prüfanforderungen!$P$3:$P$181,$W142,Prüfanforderungen!$D$3:$D$181,"Sicherheit-/Normprüfung"))</f>
        <v>1810</v>
      </c>
      <c r="M142" s="11"/>
      <c r="N142" s="11"/>
      <c r="O142" s="11"/>
      <c r="P142" s="13" t="str">
        <f aca="false">IF(COUNTIFS(Prüfanforderungen!$P$3:$P$181,$W142,Prüfanforderungen!$D$3:$D$181,"FFU/Fitting",Prüfanforderungen!$K$3:$K$181,"&gt;=0")=0,"Preis auf Anfrage",SUMIFS(Prüfanforderungen!$K$3:$K$181,Prüfanforderungen!$P$3:$P$181,$W142,Prüfanforderungen!$D$3:$D$181,"FFU/Fitting"))</f>
        <v>Preis auf Anfrage</v>
      </c>
      <c r="Q142" s="11"/>
      <c r="R142" s="11"/>
      <c r="S142" s="13" t="str">
        <f aca="false">IF(COUNTIFS(Prüfanforderungen!$P$3:$P$181,$W142,Prüfanforderungen!$D$3:$D$181,"NGO / StiWa",Prüfanforderungen!$K$3:$K$181,"&gt;=0")=0,"Preis auf Anfrage",SUMIFS(Prüfanforderungen!$K$3:$K$181,Prüfanforderungen!$P$3:$P$181,$W142,Prüfanforderungen!$D$3:$D$181,"NGO / StiWa"))</f>
        <v>Preis auf Anfrage</v>
      </c>
      <c r="T142" s="11"/>
      <c r="U142" s="13"/>
      <c r="V142" s="13"/>
      <c r="W142" s="11" t="s">
        <v>703</v>
      </c>
    </row>
    <row r="143" customFormat="false" ht="46.25" hidden="false" customHeight="false" outlineLevel="0" collapsed="false">
      <c r="A143" s="11" t="s">
        <v>679</v>
      </c>
      <c r="B143" s="11" t="s">
        <v>693</v>
      </c>
      <c r="C143" s="12" t="s">
        <v>920</v>
      </c>
      <c r="D143" s="11" t="s">
        <v>704</v>
      </c>
      <c r="E143" s="11" t="str">
        <f aca="false">IF(COUNTIFS(Prüfanforderungen!$P$3:$P$181,$W143)=0,"keine Norm hinterlegt",IF($L143=0,"0 € hinterlegt",""))</f>
        <v/>
      </c>
      <c r="F143" s="12" t="s">
        <v>139</v>
      </c>
      <c r="G143" s="12"/>
      <c r="H143" s="12"/>
      <c r="I143" s="12" t="s">
        <v>42</v>
      </c>
      <c r="J143" s="12" t="s">
        <v>42</v>
      </c>
      <c r="K143" s="11" t="s">
        <v>50</v>
      </c>
      <c r="L143" s="13" t="n">
        <f aca="false">IF(COUNTIFS(Prüfanforderungen!$P$3:$P$181,$W143,Prüfanforderungen!$D$3:$D$181,"Sicherheit-/Normprüfung",Prüfanforderungen!$K$3:$K$181,"&gt;=0")=0,"Preis auf Anfrage",SUMIFS(Prüfanforderungen!$K$3:$K$181,Prüfanforderungen!$P$3:$P$181,$W143,Prüfanforderungen!$D$3:$D$181,"Sicherheit-/Normprüfung"))</f>
        <v>540</v>
      </c>
      <c r="M143" s="11"/>
      <c r="N143" s="11" t="s">
        <v>815</v>
      </c>
      <c r="O143" s="11"/>
      <c r="P143" s="13" t="str">
        <f aca="false">IF(COUNTIFS(Prüfanforderungen!$P$3:$P$181,$W143,Prüfanforderungen!$D$3:$D$181,"FFU/Fitting",Prüfanforderungen!$K$3:$K$181,"&gt;=0")=0,"Preis auf Anfrage",SUMIFS(Prüfanforderungen!$K$3:$K$181,Prüfanforderungen!$P$3:$P$181,$W143,Prüfanforderungen!$D$3:$D$181,"FFU/Fitting"))</f>
        <v>Preis auf Anfrage</v>
      </c>
      <c r="Q143" s="11"/>
      <c r="R143" s="11"/>
      <c r="S143" s="13" t="str">
        <f aca="false">IF(COUNTIFS(Prüfanforderungen!$P$3:$P$181,$W143,Prüfanforderungen!$D$3:$D$181,"NGO / StiWa",Prüfanforderungen!$K$3:$K$181,"&gt;=0")=0,"Preis auf Anfrage",SUMIFS(Prüfanforderungen!$K$3:$K$181,Prüfanforderungen!$P$3:$P$181,$W143,Prüfanforderungen!$D$3:$D$181,"NGO / StiWa"))</f>
        <v>Preis auf Anfrage</v>
      </c>
      <c r="T143" s="11"/>
      <c r="U143" s="13"/>
      <c r="V143" s="13"/>
      <c r="W143" s="11" t="s">
        <v>705</v>
      </c>
    </row>
    <row r="144" customFormat="false" ht="46.25" hidden="false" customHeight="false" outlineLevel="0" collapsed="false">
      <c r="A144" s="11" t="s">
        <v>679</v>
      </c>
      <c r="B144" s="11" t="s">
        <v>693</v>
      </c>
      <c r="C144" s="12" t="s">
        <v>920</v>
      </c>
      <c r="D144" s="11" t="s">
        <v>706</v>
      </c>
      <c r="E144" s="11" t="str">
        <f aca="false">IF(COUNTIFS(Prüfanforderungen!$P$3:$P$181,$W144)=0,"keine Norm hinterlegt",IF($L144=0,"0 € hinterlegt",""))</f>
        <v/>
      </c>
      <c r="F144" s="12" t="s">
        <v>42</v>
      </c>
      <c r="G144" s="12" t="n">
        <v>3</v>
      </c>
      <c r="H144" s="12"/>
      <c r="I144" s="12" t="s">
        <v>42</v>
      </c>
      <c r="J144" s="12" t="s">
        <v>42</v>
      </c>
      <c r="K144" s="11" t="s">
        <v>131</v>
      </c>
      <c r="L144" s="13" t="str">
        <f aca="false">IF(COUNTIFS(Prüfanforderungen!$P$3:$P$181,$W144,Prüfanforderungen!$D$3:$D$181,"Sicherheit-/Normprüfung",Prüfanforderungen!$K$3:$K$181,"&gt;=0")=0,"Preis auf Anfrage",SUMIFS(Prüfanforderungen!$K$3:$K$181,Prüfanforderungen!$P$3:$P$181,$W144,Prüfanforderungen!$D$3:$D$181,"Sicherheit-/Normprüfung"))</f>
        <v>Preis auf Anfrage</v>
      </c>
      <c r="M144" s="11"/>
      <c r="N144" s="11"/>
      <c r="O144" s="11"/>
      <c r="P144" s="13" t="str">
        <f aca="false">IF(COUNTIFS(Prüfanforderungen!$P$3:$P$181,$W144,Prüfanforderungen!$D$3:$D$181,"FFU/Fitting",Prüfanforderungen!$K$3:$K$181,"&gt;=0")=0,"Preis auf Anfrage",SUMIFS(Prüfanforderungen!$K$3:$K$181,Prüfanforderungen!$P$3:$P$181,$W144,Prüfanforderungen!$D$3:$D$181,"FFU/Fitting"))</f>
        <v>Preis auf Anfrage</v>
      </c>
      <c r="Q144" s="11"/>
      <c r="R144" s="11"/>
      <c r="S144" s="13" t="str">
        <f aca="false">IF(COUNTIFS(Prüfanforderungen!$P$3:$P$181,$W144,Prüfanforderungen!$D$3:$D$181,"NGO / StiWa",Prüfanforderungen!$K$3:$K$181,"&gt;=0")=0,"Preis auf Anfrage",SUMIFS(Prüfanforderungen!$K$3:$K$181,Prüfanforderungen!$P$3:$P$181,$W144,Prüfanforderungen!$D$3:$D$181,"NGO / StiWa"))</f>
        <v>Preis auf Anfrage</v>
      </c>
      <c r="T144" s="11"/>
      <c r="U144" s="13"/>
      <c r="V144" s="13"/>
      <c r="W144" s="11" t="s">
        <v>707</v>
      </c>
    </row>
    <row r="145" customFormat="false" ht="46.25" hidden="false" customHeight="false" outlineLevel="0" collapsed="false">
      <c r="A145" s="11" t="s">
        <v>679</v>
      </c>
      <c r="B145" s="11" t="s">
        <v>708</v>
      </c>
      <c r="C145" s="12" t="s">
        <v>922</v>
      </c>
      <c r="D145" s="11" t="s">
        <v>709</v>
      </c>
      <c r="E145" s="11" t="str">
        <f aca="false">IF(COUNTIFS(Prüfanforderungen!$P$3:$P$181,$W145)=0,"keine Norm hinterlegt",IF($L145=0,"0 € hinterlegt",""))</f>
        <v/>
      </c>
      <c r="F145" s="12" t="s">
        <v>42</v>
      </c>
      <c r="G145" s="12" t="n">
        <v>3</v>
      </c>
      <c r="H145" s="12"/>
      <c r="I145" s="12" t="s">
        <v>42</v>
      </c>
      <c r="J145" s="12" t="s">
        <v>42</v>
      </c>
      <c r="K145" s="11" t="s">
        <v>129</v>
      </c>
      <c r="L145" s="13" t="n">
        <f aca="false">IF(COUNTIFS(Prüfanforderungen!$P$3:$P$181,$W145,Prüfanforderungen!$D$3:$D$181,"Sicherheit-/Normprüfung",Prüfanforderungen!$K$3:$K$181,"&gt;=0")=0,"Preis auf Anfrage",SUMIFS(Prüfanforderungen!$K$3:$K$181,Prüfanforderungen!$P$3:$P$181,$W145,Prüfanforderungen!$D$3:$D$181,"Sicherheit-/Normprüfung"))</f>
        <v>720</v>
      </c>
      <c r="M145" s="11"/>
      <c r="N145" s="11"/>
      <c r="O145" s="11"/>
      <c r="P145" s="13" t="str">
        <f aca="false">IF(COUNTIFS(Prüfanforderungen!$P$3:$P$181,$W145,Prüfanforderungen!$D$3:$D$181,"FFU/Fitting",Prüfanforderungen!$K$3:$K$181,"&gt;=0")=0,"Preis auf Anfrage",SUMIFS(Prüfanforderungen!$K$3:$K$181,Prüfanforderungen!$P$3:$P$181,$W145,Prüfanforderungen!$D$3:$D$181,"FFU/Fitting"))</f>
        <v>Preis auf Anfrage</v>
      </c>
      <c r="Q145" s="11"/>
      <c r="R145" s="11"/>
      <c r="S145" s="13" t="str">
        <f aca="false">IF(COUNTIFS(Prüfanforderungen!$P$3:$P$181,$W145,Prüfanforderungen!$D$3:$D$181,"NGO / StiWa",Prüfanforderungen!$K$3:$K$181,"&gt;=0")=0,"Preis auf Anfrage",SUMIFS(Prüfanforderungen!$K$3:$K$181,Prüfanforderungen!$P$3:$P$181,$W145,Prüfanforderungen!$D$3:$D$181,"NGO / StiWa"))</f>
        <v>Preis auf Anfrage</v>
      </c>
      <c r="T145" s="11"/>
      <c r="U145" s="13"/>
      <c r="V145" s="13"/>
      <c r="W145" s="11" t="s">
        <v>710</v>
      </c>
    </row>
    <row r="146" customFormat="false" ht="46.25" hidden="false" customHeight="false" outlineLevel="0" collapsed="false">
      <c r="A146" s="11" t="s">
        <v>679</v>
      </c>
      <c r="B146" s="11" t="s">
        <v>711</v>
      </c>
      <c r="C146" s="12" t="s">
        <v>923</v>
      </c>
      <c r="D146" s="11" t="s">
        <v>712</v>
      </c>
      <c r="E146" s="11" t="str">
        <f aca="false">IF(COUNTIFS(Prüfanforderungen!$P$3:$P$181,$W146)=0,"keine Norm hinterlegt",IF($L146=0,"0 € hinterlegt",""))</f>
        <v/>
      </c>
      <c r="F146" s="12" t="s">
        <v>139</v>
      </c>
      <c r="G146" s="12"/>
      <c r="H146" s="12"/>
      <c r="I146" s="12" t="s">
        <v>42</v>
      </c>
      <c r="J146" s="12" t="s">
        <v>42</v>
      </c>
      <c r="K146" s="11" t="s">
        <v>50</v>
      </c>
      <c r="L146" s="13" t="n">
        <f aca="false">IF(COUNTIFS(Prüfanforderungen!$P$3:$P$181,$W146,Prüfanforderungen!$D$3:$D$181,"Sicherheit-/Normprüfung",Prüfanforderungen!$K$3:$K$181,"&gt;=0")=0,"Preis auf Anfrage",SUMIFS(Prüfanforderungen!$K$3:$K$181,Prüfanforderungen!$P$3:$P$181,$W146,Prüfanforderungen!$D$3:$D$181,"Sicherheit-/Normprüfung"))</f>
        <v>540</v>
      </c>
      <c r="M146" s="11"/>
      <c r="N146" s="11" t="s">
        <v>815</v>
      </c>
      <c r="O146" s="11"/>
      <c r="P146" s="13" t="str">
        <f aca="false">IF(COUNTIFS(Prüfanforderungen!$P$3:$P$181,$W146,Prüfanforderungen!$D$3:$D$181,"FFU/Fitting",Prüfanforderungen!$K$3:$K$181,"&gt;=0")=0,"Preis auf Anfrage",SUMIFS(Prüfanforderungen!$K$3:$K$181,Prüfanforderungen!$P$3:$P$181,$W146,Prüfanforderungen!$D$3:$D$181,"FFU/Fitting"))</f>
        <v>Preis auf Anfrage</v>
      </c>
      <c r="Q146" s="11"/>
      <c r="R146" s="11"/>
      <c r="S146" s="13" t="str">
        <f aca="false">IF(COUNTIFS(Prüfanforderungen!$P$3:$P$181,$W146,Prüfanforderungen!$D$3:$D$181,"NGO / StiWa",Prüfanforderungen!$K$3:$K$181,"&gt;=0")=0,"Preis auf Anfrage",SUMIFS(Prüfanforderungen!$K$3:$K$181,Prüfanforderungen!$P$3:$P$181,$W146,Prüfanforderungen!$D$3:$D$181,"NGO / StiWa"))</f>
        <v>Preis auf Anfrage</v>
      </c>
      <c r="T146" s="11"/>
      <c r="U146" s="13"/>
      <c r="V146" s="13"/>
      <c r="W146" s="11" t="s">
        <v>713</v>
      </c>
    </row>
    <row r="147" customFormat="false" ht="46.25" hidden="false" customHeight="false" outlineLevel="0" collapsed="false">
      <c r="A147" s="11" t="s">
        <v>679</v>
      </c>
      <c r="B147" s="11" t="s">
        <v>711</v>
      </c>
      <c r="C147" s="12" t="s">
        <v>923</v>
      </c>
      <c r="D147" s="11" t="s">
        <v>714</v>
      </c>
      <c r="E147" s="11" t="str">
        <f aca="false">IF(COUNTIFS(Prüfanforderungen!$P$3:$P$181,$W147)=0,"keine Norm hinterlegt",IF($L147=0,"0 € hinterlegt",""))</f>
        <v/>
      </c>
      <c r="F147" s="12" t="s">
        <v>42</v>
      </c>
      <c r="G147" s="12"/>
      <c r="H147" s="12"/>
      <c r="I147" s="12" t="s">
        <v>42</v>
      </c>
      <c r="J147" s="12" t="s">
        <v>42</v>
      </c>
      <c r="K147" s="11" t="s">
        <v>65</v>
      </c>
      <c r="L147" s="13" t="n">
        <f aca="false">IF(COUNTIFS(Prüfanforderungen!$P$3:$P$181,$W147,Prüfanforderungen!$D$3:$D$181,"Sicherheit-/Normprüfung",Prüfanforderungen!$K$3:$K$181,"&gt;=0")=0,"Preis auf Anfrage",SUMIFS(Prüfanforderungen!$K$3:$K$181,Prüfanforderungen!$P$3:$P$181,$W147,Prüfanforderungen!$D$3:$D$181,"Sicherheit-/Normprüfung"))</f>
        <v>900</v>
      </c>
      <c r="M147" s="11"/>
      <c r="N147" s="11"/>
      <c r="O147" s="11"/>
      <c r="P147" s="13" t="str">
        <f aca="false">IF(COUNTIFS(Prüfanforderungen!$P$3:$P$181,$W147,Prüfanforderungen!$D$3:$D$181,"FFU/Fitting",Prüfanforderungen!$K$3:$K$181,"&gt;=0")=0,"Preis auf Anfrage",SUMIFS(Prüfanforderungen!$K$3:$K$181,Prüfanforderungen!$P$3:$P$181,$W147,Prüfanforderungen!$D$3:$D$181,"FFU/Fitting"))</f>
        <v>Preis auf Anfrage</v>
      </c>
      <c r="Q147" s="11"/>
      <c r="R147" s="11"/>
      <c r="S147" s="13" t="str">
        <f aca="false">IF(COUNTIFS(Prüfanforderungen!$P$3:$P$181,$W147,Prüfanforderungen!$D$3:$D$181,"NGO / StiWa",Prüfanforderungen!$K$3:$K$181,"&gt;=0")=0,"Preis auf Anfrage",SUMIFS(Prüfanforderungen!$K$3:$K$181,Prüfanforderungen!$P$3:$P$181,$W147,Prüfanforderungen!$D$3:$D$181,"NGO / StiWa"))</f>
        <v>Preis auf Anfrage</v>
      </c>
      <c r="T147" s="11"/>
      <c r="U147" s="13"/>
      <c r="V147" s="13"/>
      <c r="W147" s="11" t="s">
        <v>715</v>
      </c>
    </row>
    <row r="148" customFormat="false" ht="79.85" hidden="false" customHeight="false" outlineLevel="0" collapsed="false">
      <c r="A148" s="11" t="s">
        <v>679</v>
      </c>
      <c r="B148" s="11" t="s">
        <v>711</v>
      </c>
      <c r="C148" s="12" t="s">
        <v>923</v>
      </c>
      <c r="D148" s="11" t="s">
        <v>716</v>
      </c>
      <c r="E148" s="11" t="str">
        <f aca="false">IF(COUNTIFS(Prüfanforderungen!$P$3:$P$181,$W148)=0,"keine Norm hinterlegt",IF($L148=0,"0 € hinterlegt",""))</f>
        <v>0 € hinterlegt</v>
      </c>
      <c r="F148" s="12" t="s">
        <v>42</v>
      </c>
      <c r="G148" s="12" t="n">
        <v>6</v>
      </c>
      <c r="H148" s="12"/>
      <c r="I148" s="12" t="s">
        <v>42</v>
      </c>
      <c r="J148" s="12" t="s">
        <v>42</v>
      </c>
      <c r="K148" s="11" t="s">
        <v>233</v>
      </c>
      <c r="L148" s="13" t="n">
        <f aca="false">IF(COUNTIFS(Prüfanforderungen!$P$3:$P$181,$W148,Prüfanforderungen!$D$3:$D$181,"Sicherheit-/Normprüfung",Prüfanforderungen!$K$3:$K$181,"&gt;=0")=0,"Preis auf Anfrage",SUMIFS(Prüfanforderungen!$K$3:$K$181,Prüfanforderungen!$P$3:$P$181,$W148,Prüfanforderungen!$D$3:$D$181,"Sicherheit-/Normprüfung"))</f>
        <v>0</v>
      </c>
      <c r="M148" s="11"/>
      <c r="N148" s="11" t="s">
        <v>924</v>
      </c>
      <c r="O148" s="11" t="s">
        <v>222</v>
      </c>
      <c r="P148" s="13" t="n">
        <f aca="false">IF(COUNTIFS(Prüfanforderungen!$P$3:$P$181,$W148,Prüfanforderungen!$D$3:$D$181,"FFU/Fitting",Prüfanforderungen!$K$3:$K$181,"&gt;=0")=0,"Preis auf Anfrage",SUMIFS(Prüfanforderungen!$K$3:$K$181,Prüfanforderungen!$P$3:$P$181,$W148,Prüfanforderungen!$D$3:$D$181,"FFU/Fitting"))</f>
        <v>450</v>
      </c>
      <c r="Q148" s="11"/>
      <c r="R148" s="11"/>
      <c r="S148" s="13" t="str">
        <f aca="false">IF(COUNTIFS(Prüfanforderungen!$P$3:$P$181,$W148,Prüfanforderungen!$D$3:$D$181,"NGO / StiWa",Prüfanforderungen!$K$3:$K$181,"&gt;=0")=0,"Preis auf Anfrage",SUMIFS(Prüfanforderungen!$K$3:$K$181,Prüfanforderungen!$P$3:$P$181,$W148,Prüfanforderungen!$D$3:$D$181,"NGO / StiWa"))</f>
        <v>Preis auf Anfrage</v>
      </c>
      <c r="T148" s="11"/>
      <c r="U148" s="13"/>
      <c r="V148" s="13"/>
      <c r="W148" s="11" t="s">
        <v>717</v>
      </c>
    </row>
    <row r="149" customFormat="false" ht="46.25" hidden="false" customHeight="false" outlineLevel="0" collapsed="false">
      <c r="A149" s="11" t="s">
        <v>679</v>
      </c>
      <c r="B149" s="11" t="s">
        <v>711</v>
      </c>
      <c r="C149" s="12" t="s">
        <v>923</v>
      </c>
      <c r="D149" s="11" t="s">
        <v>718</v>
      </c>
      <c r="E149" s="11" t="str">
        <f aca="false">IF(COUNTIFS(Prüfanforderungen!$P$3:$P$181,$W149)=0,"keine Norm hinterlegt",IF($L149=0,"0 € hinterlegt",""))</f>
        <v/>
      </c>
      <c r="F149" s="12" t="s">
        <v>42</v>
      </c>
      <c r="G149" s="12"/>
      <c r="H149" s="12"/>
      <c r="I149" s="12" t="s">
        <v>42</v>
      </c>
      <c r="J149" s="12" t="s">
        <v>42</v>
      </c>
      <c r="K149" s="11" t="s">
        <v>63</v>
      </c>
      <c r="L149" s="13" t="n">
        <f aca="false">IF(COUNTIFS(Prüfanforderungen!$P$3:$P$181,$W149,Prüfanforderungen!$D$3:$D$181,"Sicherheit-/Normprüfung",Prüfanforderungen!$K$3:$K$181,"&gt;=0")=0,"Preis auf Anfrage",SUMIFS(Prüfanforderungen!$K$3:$K$181,Prüfanforderungen!$P$3:$P$181,$W149,Prüfanforderungen!$D$3:$D$181,"Sicherheit-/Normprüfung"))</f>
        <v>720</v>
      </c>
      <c r="M149" s="11"/>
      <c r="N149" s="11"/>
      <c r="O149" s="11"/>
      <c r="P149" s="13" t="str">
        <f aca="false">IF(COUNTIFS(Prüfanforderungen!$P$3:$P$181,$W149,Prüfanforderungen!$D$3:$D$181,"FFU/Fitting",Prüfanforderungen!$K$3:$K$181,"&gt;=0")=0,"Preis auf Anfrage",SUMIFS(Prüfanforderungen!$K$3:$K$181,Prüfanforderungen!$P$3:$P$181,$W149,Prüfanforderungen!$D$3:$D$181,"FFU/Fitting"))</f>
        <v>Preis auf Anfrage</v>
      </c>
      <c r="Q149" s="11"/>
      <c r="R149" s="11"/>
      <c r="S149" s="13" t="str">
        <f aca="false">IF(COUNTIFS(Prüfanforderungen!$P$3:$P$181,$W149,Prüfanforderungen!$D$3:$D$181,"NGO / StiWa",Prüfanforderungen!$K$3:$K$181,"&gt;=0")=0,"Preis auf Anfrage",SUMIFS(Prüfanforderungen!$K$3:$K$181,Prüfanforderungen!$P$3:$P$181,$W149,Prüfanforderungen!$D$3:$D$181,"NGO / StiWa"))</f>
        <v>Preis auf Anfrage</v>
      </c>
      <c r="T149" s="11"/>
      <c r="U149" s="13"/>
      <c r="V149" s="13"/>
      <c r="W149" s="11" t="s">
        <v>719</v>
      </c>
    </row>
    <row r="150" customFormat="false" ht="46.25" hidden="false" customHeight="false" outlineLevel="0" collapsed="false">
      <c r="A150" s="11" t="s">
        <v>679</v>
      </c>
      <c r="B150" s="11" t="s">
        <v>720</v>
      </c>
      <c r="C150" s="12" t="s">
        <v>925</v>
      </c>
      <c r="D150" s="11" t="s">
        <v>926</v>
      </c>
      <c r="E150" s="11" t="str">
        <f aca="false">IF(COUNTIFS(Prüfanforderungen!$P$3:$P$181,$W150)=0,"keine Norm hinterlegt",IF($L150=0,"0 € hinterlegt",""))</f>
        <v>keine Norm hinterlegt</v>
      </c>
      <c r="F150" s="12" t="s">
        <v>42</v>
      </c>
      <c r="G150" s="12"/>
      <c r="H150" s="12"/>
      <c r="I150" s="12" t="s">
        <v>42</v>
      </c>
      <c r="J150" s="12" t="s">
        <v>42</v>
      </c>
      <c r="K150" s="11"/>
      <c r="L150" s="13" t="str">
        <f aca="false">IF(COUNTIFS(Prüfanforderungen!$P$3:$P$181,$W150,Prüfanforderungen!$D$3:$D$181,"Sicherheit-/Normprüfung",Prüfanforderungen!$K$3:$K$181,"&gt;=0")=0,"Preis auf Anfrage",SUMIFS(Prüfanforderungen!$K$3:$K$181,Prüfanforderungen!$P$3:$P$181,$W150,Prüfanforderungen!$D$3:$D$181,"Sicherheit-/Normprüfung"))</f>
        <v>Preis auf Anfrage</v>
      </c>
      <c r="M150" s="11"/>
      <c r="N150" s="11"/>
      <c r="O150" s="11"/>
      <c r="P150" s="13" t="str">
        <f aca="false">IF(COUNTIFS(Prüfanforderungen!$P$3:$P$181,$W150,Prüfanforderungen!$D$3:$D$181,"FFU/Fitting",Prüfanforderungen!$K$3:$K$181,"&gt;=0")=0,"Preis auf Anfrage",SUMIFS(Prüfanforderungen!$K$3:$K$181,Prüfanforderungen!$P$3:$P$181,$W150,Prüfanforderungen!$D$3:$D$181,"FFU/Fitting"))</f>
        <v>Preis auf Anfrage</v>
      </c>
      <c r="Q150" s="11"/>
      <c r="R150" s="11"/>
      <c r="S150" s="13" t="str">
        <f aca="false">IF(COUNTIFS(Prüfanforderungen!$P$3:$P$181,$W150,Prüfanforderungen!$D$3:$D$181,"NGO / StiWa",Prüfanforderungen!$K$3:$K$181,"&gt;=0")=0,"Preis auf Anfrage",SUMIFS(Prüfanforderungen!$K$3:$K$181,Prüfanforderungen!$P$3:$P$181,$W150,Prüfanforderungen!$D$3:$D$181,"NGO / StiWa"))</f>
        <v>Preis auf Anfrage</v>
      </c>
      <c r="T150" s="11"/>
      <c r="U150" s="13"/>
      <c r="V150" s="13"/>
      <c r="W150" s="11" t="s">
        <v>927</v>
      </c>
    </row>
    <row r="151" customFormat="false" ht="46.25" hidden="false" customHeight="false" outlineLevel="0" collapsed="false">
      <c r="A151" s="11" t="s">
        <v>679</v>
      </c>
      <c r="B151" s="11" t="s">
        <v>720</v>
      </c>
      <c r="C151" s="12" t="s">
        <v>925</v>
      </c>
      <c r="D151" s="11" t="s">
        <v>721</v>
      </c>
      <c r="E151" s="11" t="str">
        <f aca="false">IF(COUNTIFS(Prüfanforderungen!$P$3:$P$181,$W151)=0,"keine Norm hinterlegt",IF($L151=0,"0 € hinterlegt",""))</f>
        <v/>
      </c>
      <c r="F151" s="12" t="s">
        <v>42</v>
      </c>
      <c r="G151" s="12"/>
      <c r="H151" s="12"/>
      <c r="I151" s="12" t="s">
        <v>42</v>
      </c>
      <c r="J151" s="12" t="s">
        <v>42</v>
      </c>
      <c r="K151" s="11" t="s">
        <v>116</v>
      </c>
      <c r="L151" s="13" t="n">
        <f aca="false">IF(COUNTIFS(Prüfanforderungen!$P$3:$P$181,$W151,Prüfanforderungen!$D$3:$D$181,"Sicherheit-/Normprüfung",Prüfanforderungen!$K$3:$K$181,"&gt;=0")=0,"Preis auf Anfrage",SUMIFS(Prüfanforderungen!$K$3:$K$181,Prüfanforderungen!$P$3:$P$181,$W151,Prüfanforderungen!$D$3:$D$181,"Sicherheit-/Normprüfung"))</f>
        <v>1810</v>
      </c>
      <c r="M151" s="11"/>
      <c r="N151" s="11"/>
      <c r="O151" s="11"/>
      <c r="P151" s="13" t="str">
        <f aca="false">IF(COUNTIFS(Prüfanforderungen!$P$3:$P$181,$W151,Prüfanforderungen!$D$3:$D$181,"FFU/Fitting",Prüfanforderungen!$K$3:$K$181,"&gt;=0")=0,"Preis auf Anfrage",SUMIFS(Prüfanforderungen!$K$3:$K$181,Prüfanforderungen!$P$3:$P$181,$W151,Prüfanforderungen!$D$3:$D$181,"FFU/Fitting"))</f>
        <v>Preis auf Anfrage</v>
      </c>
      <c r="Q151" s="11"/>
      <c r="R151" s="11"/>
      <c r="S151" s="13" t="str">
        <f aca="false">IF(COUNTIFS(Prüfanforderungen!$P$3:$P$181,$W151,Prüfanforderungen!$D$3:$D$181,"NGO / StiWa",Prüfanforderungen!$K$3:$K$181,"&gt;=0")=0,"Preis auf Anfrage",SUMIFS(Prüfanforderungen!$K$3:$K$181,Prüfanforderungen!$P$3:$P$181,$W151,Prüfanforderungen!$D$3:$D$181,"NGO / StiWa"))</f>
        <v>Preis auf Anfrage</v>
      </c>
      <c r="T151" s="11"/>
      <c r="U151" s="13"/>
      <c r="V151" s="13"/>
      <c r="W151" s="11" t="s">
        <v>722</v>
      </c>
    </row>
    <row r="152" customFormat="false" ht="46.25" hidden="false" customHeight="false" outlineLevel="0" collapsed="false">
      <c r="A152" s="11" t="s">
        <v>679</v>
      </c>
      <c r="B152" s="11" t="s">
        <v>720</v>
      </c>
      <c r="C152" s="12" t="s">
        <v>925</v>
      </c>
      <c r="D152" s="11" t="s">
        <v>928</v>
      </c>
      <c r="E152" s="11" t="str">
        <f aca="false">IF(COUNTIFS(Prüfanforderungen!$P$3:$P$181,$W152)=0,"keine Norm hinterlegt",IF($L152=0,"0 € hinterlegt",""))</f>
        <v>keine Norm hinterlegt</v>
      </c>
      <c r="F152" s="12" t="s">
        <v>42</v>
      </c>
      <c r="G152" s="12"/>
      <c r="H152" s="12"/>
      <c r="I152" s="12" t="s">
        <v>42</v>
      </c>
      <c r="J152" s="12" t="s">
        <v>42</v>
      </c>
      <c r="K152" s="11"/>
      <c r="L152" s="13" t="str">
        <f aca="false">IF(COUNTIFS(Prüfanforderungen!$P$3:$P$181,$W152,Prüfanforderungen!$D$3:$D$181,"Sicherheit-/Normprüfung",Prüfanforderungen!$K$3:$K$181,"&gt;=0")=0,"Preis auf Anfrage",SUMIFS(Prüfanforderungen!$K$3:$K$181,Prüfanforderungen!$P$3:$P$181,$W152,Prüfanforderungen!$D$3:$D$181,"Sicherheit-/Normprüfung"))</f>
        <v>Preis auf Anfrage</v>
      </c>
      <c r="M152" s="11"/>
      <c r="N152" s="11"/>
      <c r="O152" s="11"/>
      <c r="P152" s="13" t="str">
        <f aca="false">IF(COUNTIFS(Prüfanforderungen!$P$3:$P$181,$W152,Prüfanforderungen!$D$3:$D$181,"FFU/Fitting",Prüfanforderungen!$K$3:$K$181,"&gt;=0")=0,"Preis auf Anfrage",SUMIFS(Prüfanforderungen!$K$3:$K$181,Prüfanforderungen!$P$3:$P$181,$W152,Prüfanforderungen!$D$3:$D$181,"FFU/Fitting"))</f>
        <v>Preis auf Anfrage</v>
      </c>
      <c r="Q152" s="11"/>
      <c r="R152" s="11"/>
      <c r="S152" s="13" t="str">
        <f aca="false">IF(COUNTIFS(Prüfanforderungen!$P$3:$P$181,$W152,Prüfanforderungen!$D$3:$D$181,"NGO / StiWa",Prüfanforderungen!$K$3:$K$181,"&gt;=0")=0,"Preis auf Anfrage",SUMIFS(Prüfanforderungen!$K$3:$K$181,Prüfanforderungen!$P$3:$P$181,$W152,Prüfanforderungen!$D$3:$D$181,"NGO / StiWa"))</f>
        <v>Preis auf Anfrage</v>
      </c>
      <c r="T152" s="11"/>
      <c r="U152" s="13"/>
      <c r="V152" s="13"/>
      <c r="W152" s="11" t="s">
        <v>929</v>
      </c>
    </row>
    <row r="153" customFormat="false" ht="46.25" hidden="false" customHeight="false" outlineLevel="0" collapsed="false">
      <c r="A153" s="11" t="s">
        <v>679</v>
      </c>
      <c r="B153" s="11" t="s">
        <v>723</v>
      </c>
      <c r="C153" s="12" t="s">
        <v>930</v>
      </c>
      <c r="D153" s="11" t="s">
        <v>724</v>
      </c>
      <c r="E153" s="11" t="str">
        <f aca="false">IF(COUNTIFS(Prüfanforderungen!$P$3:$P$181,$W153)=0,"keine Norm hinterlegt",IF($L153=0,"0 € hinterlegt",""))</f>
        <v>0 € hinterlegt</v>
      </c>
      <c r="F153" s="12" t="s">
        <v>42</v>
      </c>
      <c r="G153" s="12"/>
      <c r="H153" s="12"/>
      <c r="I153" s="12" t="s">
        <v>42</v>
      </c>
      <c r="J153" s="12" t="s">
        <v>42</v>
      </c>
      <c r="K153" s="11" t="s">
        <v>50</v>
      </c>
      <c r="L153" s="13" t="n">
        <f aca="false">IF(COUNTIFS(Prüfanforderungen!$P$3:$P$181,$W153,Prüfanforderungen!$D$3:$D$181,"Sicherheit-/Normprüfung",Prüfanforderungen!$K$3:$K$181,"&gt;=0")=0,"Preis auf Anfrage",SUMIFS(Prüfanforderungen!$K$3:$K$181,Prüfanforderungen!$P$3:$P$181,$W153,Prüfanforderungen!$D$3:$D$181,"Sicherheit-/Normprüfung"))</f>
        <v>0</v>
      </c>
      <c r="M153" s="11"/>
      <c r="N153" s="11" t="s">
        <v>815</v>
      </c>
      <c r="O153" s="11"/>
      <c r="P153" s="13" t="str">
        <f aca="false">IF(COUNTIFS(Prüfanforderungen!$P$3:$P$181,$W153,Prüfanforderungen!$D$3:$D$181,"FFU/Fitting",Prüfanforderungen!$K$3:$K$181,"&gt;=0")=0,"Preis auf Anfrage",SUMIFS(Prüfanforderungen!$K$3:$K$181,Prüfanforderungen!$P$3:$P$181,$W153,Prüfanforderungen!$D$3:$D$181,"FFU/Fitting"))</f>
        <v>Preis auf Anfrage</v>
      </c>
      <c r="Q153" s="11"/>
      <c r="R153" s="11"/>
      <c r="S153" s="13" t="str">
        <f aca="false">IF(COUNTIFS(Prüfanforderungen!$P$3:$P$181,$W153,Prüfanforderungen!$D$3:$D$181,"NGO / StiWa",Prüfanforderungen!$K$3:$K$181,"&gt;=0")=0,"Preis auf Anfrage",SUMIFS(Prüfanforderungen!$K$3:$K$181,Prüfanforderungen!$P$3:$P$181,$W153,Prüfanforderungen!$D$3:$D$181,"NGO / StiWa"))</f>
        <v>Preis auf Anfrage</v>
      </c>
      <c r="T153" s="11"/>
      <c r="U153" s="13"/>
      <c r="V153" s="13"/>
      <c r="W153" s="11" t="s">
        <v>725</v>
      </c>
    </row>
    <row r="154" customFormat="false" ht="46.25" hidden="false" customHeight="false" outlineLevel="0" collapsed="false">
      <c r="A154" s="11" t="s">
        <v>679</v>
      </c>
      <c r="B154" s="11" t="s">
        <v>723</v>
      </c>
      <c r="C154" s="12" t="s">
        <v>930</v>
      </c>
      <c r="D154" s="11" t="s">
        <v>931</v>
      </c>
      <c r="E154" s="11" t="str">
        <f aca="false">IF(COUNTIFS(Prüfanforderungen!$P$3:$P$181,$W154)=0,"keine Norm hinterlegt",IF($L154=0,"0 € hinterlegt",""))</f>
        <v>keine Norm hinterlegt</v>
      </c>
      <c r="F154" s="12" t="s">
        <v>42</v>
      </c>
      <c r="G154" s="12"/>
      <c r="H154" s="12"/>
      <c r="I154" s="12" t="s">
        <v>42</v>
      </c>
      <c r="J154" s="12" t="s">
        <v>42</v>
      </c>
      <c r="K154" s="11"/>
      <c r="L154" s="13" t="str">
        <f aca="false">IF(COUNTIFS(Prüfanforderungen!$P$3:$P$181,$W154,Prüfanforderungen!$D$3:$D$181,"Sicherheit-/Normprüfung",Prüfanforderungen!$K$3:$K$181,"&gt;=0")=0,"Preis auf Anfrage",SUMIFS(Prüfanforderungen!$K$3:$K$181,Prüfanforderungen!$P$3:$P$181,$W154,Prüfanforderungen!$D$3:$D$181,"Sicherheit-/Normprüfung"))</f>
        <v>Preis auf Anfrage</v>
      </c>
      <c r="M154" s="11"/>
      <c r="N154" s="11"/>
      <c r="O154" s="11"/>
      <c r="P154" s="13" t="str">
        <f aca="false">IF(COUNTIFS(Prüfanforderungen!$P$3:$P$181,$W154,Prüfanforderungen!$D$3:$D$181,"FFU/Fitting",Prüfanforderungen!$K$3:$K$181,"&gt;=0")=0,"Preis auf Anfrage",SUMIFS(Prüfanforderungen!$K$3:$K$181,Prüfanforderungen!$P$3:$P$181,$W154,Prüfanforderungen!$D$3:$D$181,"FFU/Fitting"))</f>
        <v>Preis auf Anfrage</v>
      </c>
      <c r="Q154" s="11"/>
      <c r="R154" s="11"/>
      <c r="S154" s="13" t="str">
        <f aca="false">IF(COUNTIFS(Prüfanforderungen!$P$3:$P$181,$W154,Prüfanforderungen!$D$3:$D$181,"NGO / StiWa",Prüfanforderungen!$K$3:$K$181,"&gt;=0")=0,"Preis auf Anfrage",SUMIFS(Prüfanforderungen!$K$3:$K$181,Prüfanforderungen!$P$3:$P$181,$W154,Prüfanforderungen!$D$3:$D$181,"NGO / StiWa"))</f>
        <v>Preis auf Anfrage</v>
      </c>
      <c r="T154" s="11"/>
      <c r="U154" s="13"/>
      <c r="V154" s="13"/>
      <c r="W154" s="11" t="s">
        <v>932</v>
      </c>
    </row>
    <row r="155" customFormat="false" ht="46.25" hidden="false" customHeight="false" outlineLevel="0" collapsed="false">
      <c r="A155" s="11" t="s">
        <v>679</v>
      </c>
      <c r="B155" s="11" t="s">
        <v>723</v>
      </c>
      <c r="C155" s="12" t="s">
        <v>930</v>
      </c>
      <c r="D155" s="11" t="s">
        <v>726</v>
      </c>
      <c r="E155" s="11" t="str">
        <f aca="false">IF(COUNTIFS(Prüfanforderungen!$P$3:$P$181,$W155)=0,"keine Norm hinterlegt",IF($L155=0,"0 € hinterlegt",""))</f>
        <v>0 € hinterlegt</v>
      </c>
      <c r="F155" s="12" t="s">
        <v>42</v>
      </c>
      <c r="G155" s="12"/>
      <c r="H155" s="12"/>
      <c r="I155" s="12" t="s">
        <v>42</v>
      </c>
      <c r="J155" s="12" t="s">
        <v>42</v>
      </c>
      <c r="K155" s="11" t="s">
        <v>118</v>
      </c>
      <c r="L155" s="13" t="n">
        <f aca="false">IF(COUNTIFS(Prüfanforderungen!$P$3:$P$181,$W155,Prüfanforderungen!$D$3:$D$181,"Sicherheit-/Normprüfung",Prüfanforderungen!$K$3:$K$181,"&gt;=0")=0,"Preis auf Anfrage",SUMIFS(Prüfanforderungen!$K$3:$K$181,Prüfanforderungen!$P$3:$P$181,$W155,Prüfanforderungen!$D$3:$D$181,"Sicherheit-/Normprüfung"))</f>
        <v>0</v>
      </c>
      <c r="M155" s="11"/>
      <c r="N155" s="11"/>
      <c r="O155" s="11"/>
      <c r="P155" s="13" t="str">
        <f aca="false">IF(COUNTIFS(Prüfanforderungen!$P$3:$P$181,$W155,Prüfanforderungen!$D$3:$D$181,"FFU/Fitting",Prüfanforderungen!$K$3:$K$181,"&gt;=0")=0,"Preis auf Anfrage",SUMIFS(Prüfanforderungen!$K$3:$K$181,Prüfanforderungen!$P$3:$P$181,$W155,Prüfanforderungen!$D$3:$D$181,"FFU/Fitting"))</f>
        <v>Preis auf Anfrage</v>
      </c>
      <c r="Q155" s="11"/>
      <c r="R155" s="11"/>
      <c r="S155" s="13" t="str">
        <f aca="false">IF(COUNTIFS(Prüfanforderungen!$P$3:$P$181,$W155,Prüfanforderungen!$D$3:$D$181,"NGO / StiWa",Prüfanforderungen!$K$3:$K$181,"&gt;=0")=0,"Preis auf Anfrage",SUMIFS(Prüfanforderungen!$K$3:$K$181,Prüfanforderungen!$P$3:$P$181,$W155,Prüfanforderungen!$D$3:$D$181,"NGO / StiWa"))</f>
        <v>Preis auf Anfrage</v>
      </c>
      <c r="T155" s="11"/>
      <c r="U155" s="13"/>
      <c r="V155" s="13"/>
      <c r="W155" s="11" t="s">
        <v>727</v>
      </c>
    </row>
    <row r="156" customFormat="false" ht="46.25" hidden="false" customHeight="false" outlineLevel="0" collapsed="false">
      <c r="A156" s="11" t="s">
        <v>679</v>
      </c>
      <c r="B156" s="11" t="s">
        <v>723</v>
      </c>
      <c r="C156" s="12" t="s">
        <v>930</v>
      </c>
      <c r="D156" s="11" t="s">
        <v>933</v>
      </c>
      <c r="E156" s="11" t="str">
        <f aca="false">IF(COUNTIFS(Prüfanforderungen!$P$3:$P$181,$W156)=0,"keine Norm hinterlegt",IF($L156=0,"0 € hinterlegt",""))</f>
        <v>keine Norm hinterlegt</v>
      </c>
      <c r="F156" s="12" t="s">
        <v>42</v>
      </c>
      <c r="G156" s="12"/>
      <c r="H156" s="12"/>
      <c r="I156" s="12" t="s">
        <v>42</v>
      </c>
      <c r="J156" s="12" t="s">
        <v>42</v>
      </c>
      <c r="K156" s="11"/>
      <c r="L156" s="13" t="str">
        <f aca="false">IF(COUNTIFS(Prüfanforderungen!$P$3:$P$181,$W156,Prüfanforderungen!$D$3:$D$181,"Sicherheit-/Normprüfung",Prüfanforderungen!$K$3:$K$181,"&gt;=0")=0,"Preis auf Anfrage",SUMIFS(Prüfanforderungen!$K$3:$K$181,Prüfanforderungen!$P$3:$P$181,$W156,Prüfanforderungen!$D$3:$D$181,"Sicherheit-/Normprüfung"))</f>
        <v>Preis auf Anfrage</v>
      </c>
      <c r="M156" s="11"/>
      <c r="N156" s="11"/>
      <c r="O156" s="11"/>
      <c r="P156" s="13" t="str">
        <f aca="false">IF(COUNTIFS(Prüfanforderungen!$P$3:$P$181,$W156,Prüfanforderungen!$D$3:$D$181,"FFU/Fitting",Prüfanforderungen!$K$3:$K$181,"&gt;=0")=0,"Preis auf Anfrage",SUMIFS(Prüfanforderungen!$K$3:$K$181,Prüfanforderungen!$P$3:$P$181,$W156,Prüfanforderungen!$D$3:$D$181,"FFU/Fitting"))</f>
        <v>Preis auf Anfrage</v>
      </c>
      <c r="Q156" s="11"/>
      <c r="R156" s="11"/>
      <c r="S156" s="13" t="str">
        <f aca="false">IF(COUNTIFS(Prüfanforderungen!$P$3:$P$181,$W156,Prüfanforderungen!$D$3:$D$181,"NGO / StiWa",Prüfanforderungen!$K$3:$K$181,"&gt;=0")=0,"Preis auf Anfrage",SUMIFS(Prüfanforderungen!$K$3:$K$181,Prüfanforderungen!$P$3:$P$181,$W156,Prüfanforderungen!$D$3:$D$181,"NGO / StiWa"))</f>
        <v>Preis auf Anfrage</v>
      </c>
      <c r="T156" s="11"/>
      <c r="U156" s="13"/>
      <c r="V156" s="13"/>
      <c r="W156" s="11" t="s">
        <v>934</v>
      </c>
    </row>
    <row r="157" customFormat="false" ht="46.25" hidden="false" customHeight="false" outlineLevel="0" collapsed="false">
      <c r="A157" s="11" t="s">
        <v>679</v>
      </c>
      <c r="B157" s="11" t="s">
        <v>728</v>
      </c>
      <c r="C157" s="12" t="s">
        <v>935</v>
      </c>
      <c r="D157" s="11" t="s">
        <v>729</v>
      </c>
      <c r="E157" s="11" t="str">
        <f aca="false">IF(COUNTIFS(Prüfanforderungen!$P$3:$P$181,$W157)=0,"keine Norm hinterlegt",IF($L157=0,"0 € hinterlegt",""))</f>
        <v/>
      </c>
      <c r="F157" s="12" t="s">
        <v>42</v>
      </c>
      <c r="G157" s="12"/>
      <c r="H157" s="12"/>
      <c r="I157" s="12" t="s">
        <v>42</v>
      </c>
      <c r="J157" s="12" t="s">
        <v>42</v>
      </c>
      <c r="K157" s="11" t="s">
        <v>47</v>
      </c>
      <c r="L157" s="13" t="n">
        <f aca="false">IF(COUNTIFS(Prüfanforderungen!$P$3:$P$181,$W157,Prüfanforderungen!$D$3:$D$181,"Sicherheit-/Normprüfung",Prüfanforderungen!$K$3:$K$181,"&gt;=0")=0,"Preis auf Anfrage",SUMIFS(Prüfanforderungen!$K$3:$K$181,Prüfanforderungen!$P$3:$P$181,$W157,Prüfanforderungen!$D$3:$D$181,"Sicherheit-/Normprüfung"))</f>
        <v>1450</v>
      </c>
      <c r="M157" s="11"/>
      <c r="N157" s="11"/>
      <c r="O157" s="11"/>
      <c r="P157" s="13" t="str">
        <f aca="false">IF(COUNTIFS(Prüfanforderungen!$P$3:$P$181,$W157,Prüfanforderungen!$D$3:$D$181,"FFU/Fitting",Prüfanforderungen!$K$3:$K$181,"&gt;=0")=0,"Preis auf Anfrage",SUMIFS(Prüfanforderungen!$K$3:$K$181,Prüfanforderungen!$P$3:$P$181,$W157,Prüfanforderungen!$D$3:$D$181,"FFU/Fitting"))</f>
        <v>Preis auf Anfrage</v>
      </c>
      <c r="Q157" s="11"/>
      <c r="R157" s="11"/>
      <c r="S157" s="13" t="str">
        <f aca="false">IF(COUNTIFS(Prüfanforderungen!$P$3:$P$181,$W157,Prüfanforderungen!$D$3:$D$181,"NGO / StiWa",Prüfanforderungen!$K$3:$K$181,"&gt;=0")=0,"Preis auf Anfrage",SUMIFS(Prüfanforderungen!$K$3:$K$181,Prüfanforderungen!$P$3:$P$181,$W157,Prüfanforderungen!$D$3:$D$181,"NGO / StiWa"))</f>
        <v>Preis auf Anfrage</v>
      </c>
      <c r="T157" s="11"/>
      <c r="U157" s="13"/>
      <c r="V157" s="13"/>
      <c r="W157" s="11" t="s">
        <v>730</v>
      </c>
    </row>
    <row r="158" customFormat="false" ht="46.25" hidden="false" customHeight="false" outlineLevel="0" collapsed="false">
      <c r="A158" s="11" t="s">
        <v>731</v>
      </c>
      <c r="B158" s="11" t="s">
        <v>732</v>
      </c>
      <c r="C158" s="12" t="s">
        <v>936</v>
      </c>
      <c r="D158" s="11" t="s">
        <v>733</v>
      </c>
      <c r="E158" s="11" t="str">
        <f aca="false">IF(COUNTIFS(Prüfanforderungen!$P$3:$P$181,$W158)=0,"keine Norm hinterlegt",IF($L158=0,"0 € hinterlegt",""))</f>
        <v/>
      </c>
      <c r="F158" s="12" t="s">
        <v>139</v>
      </c>
      <c r="G158" s="12" t="n">
        <v>2</v>
      </c>
      <c r="H158" s="12"/>
      <c r="I158" s="12" t="s">
        <v>42</v>
      </c>
      <c r="J158" s="12" t="s">
        <v>42</v>
      </c>
      <c r="K158" s="11" t="s">
        <v>50</v>
      </c>
      <c r="L158" s="13" t="n">
        <f aca="false">IF(COUNTIFS(Prüfanforderungen!$P$3:$P$181,$W158,Prüfanforderungen!$D$3:$D$181,"Sicherheit-/Normprüfung",Prüfanforderungen!$K$3:$K$181,"&gt;=0")=0,"Preis auf Anfrage",SUMIFS(Prüfanforderungen!$K$3:$K$181,Prüfanforderungen!$P$3:$P$181,$W158,Prüfanforderungen!$D$3:$D$181,"Sicherheit-/Normprüfung"))</f>
        <v>540</v>
      </c>
      <c r="M158" s="11"/>
      <c r="N158" s="11" t="s">
        <v>815</v>
      </c>
      <c r="O158" s="11"/>
      <c r="P158" s="13" t="str">
        <f aca="false">IF(COUNTIFS(Prüfanforderungen!$P$3:$P$181,$W158,Prüfanforderungen!$D$3:$D$181,"FFU/Fitting",Prüfanforderungen!$K$3:$K$181,"&gt;=0")=0,"Preis auf Anfrage",SUMIFS(Prüfanforderungen!$K$3:$K$181,Prüfanforderungen!$P$3:$P$181,$W158,Prüfanforderungen!$D$3:$D$181,"FFU/Fitting"))</f>
        <v>Preis auf Anfrage</v>
      </c>
      <c r="Q158" s="11"/>
      <c r="R158" s="11"/>
      <c r="S158" s="13" t="str">
        <f aca="false">IF(COUNTIFS(Prüfanforderungen!$P$3:$P$181,$W158,Prüfanforderungen!$D$3:$D$181,"NGO / StiWa",Prüfanforderungen!$K$3:$K$181,"&gt;=0")=0,"Preis auf Anfrage",SUMIFS(Prüfanforderungen!$K$3:$K$181,Prüfanforderungen!$P$3:$P$181,$W158,Prüfanforderungen!$D$3:$D$181,"NGO / StiWa"))</f>
        <v>Preis auf Anfrage</v>
      </c>
      <c r="T158" s="11"/>
      <c r="U158" s="13" t="n">
        <v>210</v>
      </c>
      <c r="V158" s="13" t="n">
        <v>420</v>
      </c>
      <c r="W158" s="11" t="s">
        <v>734</v>
      </c>
    </row>
    <row r="159" customFormat="false" ht="46.25" hidden="false" customHeight="false" outlineLevel="0" collapsed="false">
      <c r="A159" s="11" t="s">
        <v>731</v>
      </c>
      <c r="B159" s="11" t="s">
        <v>735</v>
      </c>
      <c r="C159" s="12" t="s">
        <v>937</v>
      </c>
      <c r="D159" s="11" t="s">
        <v>736</v>
      </c>
      <c r="E159" s="11" t="str">
        <f aca="false">IF(COUNTIFS(Prüfanforderungen!$P$3:$P$181,$W159)=0,"keine Norm hinterlegt",IF($L159=0,"0 € hinterlegt",""))</f>
        <v>0 € hinterlegt</v>
      </c>
      <c r="F159" s="12" t="s">
        <v>139</v>
      </c>
      <c r="G159" s="12" t="n">
        <v>2</v>
      </c>
      <c r="H159" s="12"/>
      <c r="I159" s="12" t="s">
        <v>42</v>
      </c>
      <c r="J159" s="12" t="s">
        <v>42</v>
      </c>
      <c r="K159" s="11" t="s">
        <v>50</v>
      </c>
      <c r="L159" s="13" t="n">
        <f aca="false">IF(COUNTIFS(Prüfanforderungen!$P$3:$P$181,$W159,Prüfanforderungen!$D$3:$D$181,"Sicherheit-/Normprüfung",Prüfanforderungen!$K$3:$K$181,"&gt;=0")=0,"Preis auf Anfrage",SUMIFS(Prüfanforderungen!$K$3:$K$181,Prüfanforderungen!$P$3:$P$181,$W159,Prüfanforderungen!$D$3:$D$181,"Sicherheit-/Normprüfung"))</f>
        <v>0</v>
      </c>
      <c r="M159" s="11"/>
      <c r="N159" s="11" t="s">
        <v>815</v>
      </c>
      <c r="O159" s="11"/>
      <c r="P159" s="13" t="str">
        <f aca="false">IF(COUNTIFS(Prüfanforderungen!$P$3:$P$181,$W159,Prüfanforderungen!$D$3:$D$181,"FFU/Fitting",Prüfanforderungen!$K$3:$K$181,"&gt;=0")=0,"Preis auf Anfrage",SUMIFS(Prüfanforderungen!$K$3:$K$181,Prüfanforderungen!$P$3:$P$181,$W159,Prüfanforderungen!$D$3:$D$181,"FFU/Fitting"))</f>
        <v>Preis auf Anfrage</v>
      </c>
      <c r="Q159" s="11"/>
      <c r="R159" s="11"/>
      <c r="S159" s="13" t="str">
        <f aca="false">IF(COUNTIFS(Prüfanforderungen!$P$3:$P$181,$W159,Prüfanforderungen!$D$3:$D$181,"NGO / StiWa",Prüfanforderungen!$K$3:$K$181,"&gt;=0")=0,"Preis auf Anfrage",SUMIFS(Prüfanforderungen!$K$3:$K$181,Prüfanforderungen!$P$3:$P$181,$W159,Prüfanforderungen!$D$3:$D$181,"NGO / StiWa"))</f>
        <v>Preis auf Anfrage</v>
      </c>
      <c r="T159" s="11"/>
      <c r="U159" s="13"/>
      <c r="V159" s="13" t="n">
        <v>360</v>
      </c>
      <c r="W159" s="11" t="s">
        <v>737</v>
      </c>
    </row>
    <row r="160" customFormat="false" ht="46.25" hidden="false" customHeight="false" outlineLevel="0" collapsed="false">
      <c r="A160" s="11" t="s">
        <v>731</v>
      </c>
      <c r="B160" s="11" t="s">
        <v>735</v>
      </c>
      <c r="C160" s="12" t="s">
        <v>937</v>
      </c>
      <c r="D160" s="11" t="s">
        <v>738</v>
      </c>
      <c r="E160" s="11" t="str">
        <f aca="false">IF(COUNTIFS(Prüfanforderungen!$P$3:$P$181,$W160)=0,"keine Norm hinterlegt",IF($L160=0,"0 € hinterlegt",""))</f>
        <v>0 € hinterlegt</v>
      </c>
      <c r="F160" s="12" t="s">
        <v>139</v>
      </c>
      <c r="G160" s="12"/>
      <c r="H160" s="12"/>
      <c r="I160" s="12" t="s">
        <v>42</v>
      </c>
      <c r="J160" s="12" t="s">
        <v>42</v>
      </c>
      <c r="K160" s="11" t="s">
        <v>111</v>
      </c>
      <c r="L160" s="13" t="n">
        <f aca="false">IF(COUNTIFS(Prüfanforderungen!$P$3:$P$181,$W160,Prüfanforderungen!$D$3:$D$181,"Sicherheit-/Normprüfung",Prüfanforderungen!$K$3:$K$181,"&gt;=0")=0,"Preis auf Anfrage",SUMIFS(Prüfanforderungen!$K$3:$K$181,Prüfanforderungen!$P$3:$P$181,$W160,Prüfanforderungen!$D$3:$D$181,"Sicherheit-/Normprüfung"))</f>
        <v>0</v>
      </c>
      <c r="M160" s="11"/>
      <c r="N160" s="11" t="s">
        <v>938</v>
      </c>
      <c r="O160" s="11"/>
      <c r="P160" s="13" t="str">
        <f aca="false">IF(COUNTIFS(Prüfanforderungen!$P$3:$P$181,$W160,Prüfanforderungen!$D$3:$D$181,"FFU/Fitting",Prüfanforderungen!$K$3:$K$181,"&gt;=0")=0,"Preis auf Anfrage",SUMIFS(Prüfanforderungen!$K$3:$K$181,Prüfanforderungen!$P$3:$P$181,$W160,Prüfanforderungen!$D$3:$D$181,"FFU/Fitting"))</f>
        <v>Preis auf Anfrage</v>
      </c>
      <c r="Q160" s="11"/>
      <c r="R160" s="11"/>
      <c r="S160" s="13" t="str">
        <f aca="false">IF(COUNTIFS(Prüfanforderungen!$P$3:$P$181,$W160,Prüfanforderungen!$D$3:$D$181,"NGO / StiWa",Prüfanforderungen!$K$3:$K$181,"&gt;=0")=0,"Preis auf Anfrage",SUMIFS(Prüfanforderungen!$K$3:$K$181,Prüfanforderungen!$P$3:$P$181,$W160,Prüfanforderungen!$D$3:$D$181,"NGO / StiWa"))</f>
        <v>Preis auf Anfrage</v>
      </c>
      <c r="T160" s="11"/>
      <c r="U160" s="13"/>
      <c r="V160" s="13"/>
      <c r="W160" s="11" t="s">
        <v>739</v>
      </c>
    </row>
    <row r="161" customFormat="false" ht="170.85" hidden="false" customHeight="false" outlineLevel="0" collapsed="false">
      <c r="A161" s="11" t="s">
        <v>731</v>
      </c>
      <c r="B161" s="11" t="s">
        <v>735</v>
      </c>
      <c r="C161" s="12" t="s">
        <v>937</v>
      </c>
      <c r="D161" s="11" t="s">
        <v>740</v>
      </c>
      <c r="E161" s="11" t="str">
        <f aca="false">IF(COUNTIFS(Prüfanforderungen!$P$3:$P$181,$W161)=0,"keine Norm hinterlegt",IF($L161=0,"0 € hinterlegt",""))</f>
        <v/>
      </c>
      <c r="F161" s="12" t="s">
        <v>42</v>
      </c>
      <c r="G161" s="12" t="n">
        <v>2</v>
      </c>
      <c r="H161" s="12"/>
      <c r="I161" s="12" t="s">
        <v>42</v>
      </c>
      <c r="J161" s="12" t="s">
        <v>42</v>
      </c>
      <c r="K161" s="11" t="s">
        <v>108</v>
      </c>
      <c r="L161" s="13" t="n">
        <f aca="false">IF(COUNTIFS(Prüfanforderungen!$P$3:$P$181,$W161,Prüfanforderungen!$D$3:$D$181,"Sicherheit-/Normprüfung",Prüfanforderungen!$K$3:$K$181,"&gt;=0")=0,"Preis auf Anfrage",SUMIFS(Prüfanforderungen!$K$3:$K$181,Prüfanforderungen!$P$3:$P$181,$W161,Prüfanforderungen!$D$3:$D$181,"Sicherheit-/Normprüfung"))</f>
        <v>1690</v>
      </c>
      <c r="M161" s="11"/>
      <c r="N161" s="11" t="s">
        <v>939</v>
      </c>
      <c r="O161" s="11"/>
      <c r="P161" s="13" t="str">
        <f aca="false">IF(COUNTIFS(Prüfanforderungen!$P$3:$P$181,$W161,Prüfanforderungen!$D$3:$D$181,"FFU/Fitting",Prüfanforderungen!$K$3:$K$181,"&gt;=0")=0,"Preis auf Anfrage",SUMIFS(Prüfanforderungen!$K$3:$K$181,Prüfanforderungen!$P$3:$P$181,$W161,Prüfanforderungen!$D$3:$D$181,"FFU/Fitting"))</f>
        <v>Preis auf Anfrage</v>
      </c>
      <c r="Q161" s="11"/>
      <c r="R161" s="11"/>
      <c r="S161" s="13" t="str">
        <f aca="false">IF(COUNTIFS(Prüfanforderungen!$P$3:$P$181,$W161,Prüfanforderungen!$D$3:$D$181,"NGO / StiWa",Prüfanforderungen!$K$3:$K$181,"&gt;=0")=0,"Preis auf Anfrage",SUMIFS(Prüfanforderungen!$K$3:$K$181,Prüfanforderungen!$P$3:$P$181,$W161,Prüfanforderungen!$D$3:$D$181,"NGO / StiWa"))</f>
        <v>Preis auf Anfrage</v>
      </c>
      <c r="T161" s="11"/>
      <c r="U161" s="13" t="n">
        <v>1500</v>
      </c>
      <c r="V161" s="13" t="n">
        <v>3000</v>
      </c>
      <c r="W161" s="11" t="s">
        <v>741</v>
      </c>
    </row>
    <row r="162" customFormat="false" ht="46.25" hidden="false" customHeight="false" outlineLevel="0" collapsed="false">
      <c r="A162" s="11" t="s">
        <v>731</v>
      </c>
      <c r="B162" s="11" t="s">
        <v>742</v>
      </c>
      <c r="C162" s="12" t="s">
        <v>940</v>
      </c>
      <c r="D162" s="11" t="s">
        <v>743</v>
      </c>
      <c r="E162" s="11" t="str">
        <f aca="false">IF(COUNTIFS(Prüfanforderungen!$P$3:$P$181,$W162)=0,"keine Norm hinterlegt",IF($L162=0,"0 € hinterlegt",""))</f>
        <v/>
      </c>
      <c r="F162" s="12" t="s">
        <v>42</v>
      </c>
      <c r="G162" s="12" t="n">
        <v>2</v>
      </c>
      <c r="H162" s="12"/>
      <c r="I162" s="12" t="s">
        <v>42</v>
      </c>
      <c r="J162" s="12" t="s">
        <v>42</v>
      </c>
      <c r="K162" s="11" t="s">
        <v>120</v>
      </c>
      <c r="L162" s="13" t="n">
        <f aca="false">IF(COUNTIFS(Prüfanforderungen!$P$3:$P$181,$W162,Prüfanforderungen!$D$3:$D$181,"Sicherheit-/Normprüfung",Prüfanforderungen!$K$3:$K$181,"&gt;=0")=0,"Preis auf Anfrage",SUMIFS(Prüfanforderungen!$K$3:$K$181,Prüfanforderungen!$P$3:$P$181,$W162,Prüfanforderungen!$D$3:$D$181,"Sicherheit-/Normprüfung"))</f>
        <v>720</v>
      </c>
      <c r="M162" s="11"/>
      <c r="N162" s="11"/>
      <c r="O162" s="11"/>
      <c r="P162" s="13" t="str">
        <f aca="false">IF(COUNTIFS(Prüfanforderungen!$P$3:$P$181,$W162,Prüfanforderungen!$D$3:$D$181,"FFU/Fitting",Prüfanforderungen!$K$3:$K$181,"&gt;=0")=0,"Preis auf Anfrage",SUMIFS(Prüfanforderungen!$K$3:$K$181,Prüfanforderungen!$P$3:$P$181,$W162,Prüfanforderungen!$D$3:$D$181,"FFU/Fitting"))</f>
        <v>Preis auf Anfrage</v>
      </c>
      <c r="Q162" s="11"/>
      <c r="R162" s="11"/>
      <c r="S162" s="13" t="str">
        <f aca="false">IF(COUNTIFS(Prüfanforderungen!$P$3:$P$181,$W162,Prüfanforderungen!$D$3:$D$181,"NGO / StiWa",Prüfanforderungen!$K$3:$K$181,"&gt;=0")=0,"Preis auf Anfrage",SUMIFS(Prüfanforderungen!$K$3:$K$181,Prüfanforderungen!$P$3:$P$181,$W162,Prüfanforderungen!$D$3:$D$181,"NGO / StiWa"))</f>
        <v>Preis auf Anfrage</v>
      </c>
      <c r="T162" s="11"/>
      <c r="U162" s="13" t="n">
        <v>700</v>
      </c>
      <c r="V162" s="13" t="n">
        <v>1400</v>
      </c>
      <c r="W162" s="11" t="s">
        <v>744</v>
      </c>
    </row>
    <row r="163" customFormat="false" ht="46.25" hidden="false" customHeight="false" outlineLevel="0" collapsed="false">
      <c r="A163" s="11" t="s">
        <v>731</v>
      </c>
      <c r="B163" s="11" t="s">
        <v>742</v>
      </c>
      <c r="C163" s="12" t="s">
        <v>940</v>
      </c>
      <c r="D163" s="11" t="s">
        <v>941</v>
      </c>
      <c r="E163" s="11" t="str">
        <f aca="false">IF(COUNTIFS(Prüfanforderungen!$P$3:$P$181,$W163)=0,"keine Norm hinterlegt",IF($L163=0,"0 € hinterlegt",""))</f>
        <v>keine Norm hinterlegt</v>
      </c>
      <c r="F163" s="12" t="s">
        <v>42</v>
      </c>
      <c r="G163" s="12"/>
      <c r="H163" s="12"/>
      <c r="I163" s="12" t="s">
        <v>42</v>
      </c>
      <c r="J163" s="12" t="s">
        <v>42</v>
      </c>
      <c r="K163" s="11"/>
      <c r="L163" s="13" t="str">
        <f aca="false">IF(COUNTIFS(Prüfanforderungen!$P$3:$P$181,$W163,Prüfanforderungen!$D$3:$D$181,"Sicherheit-/Normprüfung",Prüfanforderungen!$K$3:$K$181,"&gt;=0")=0,"Preis auf Anfrage",SUMIFS(Prüfanforderungen!$K$3:$K$181,Prüfanforderungen!$P$3:$P$181,$W163,Prüfanforderungen!$D$3:$D$181,"Sicherheit-/Normprüfung"))</f>
        <v>Preis auf Anfrage</v>
      </c>
      <c r="M163" s="11"/>
      <c r="N163" s="11"/>
      <c r="O163" s="11"/>
      <c r="P163" s="13" t="str">
        <f aca="false">IF(COUNTIFS(Prüfanforderungen!$P$3:$P$181,$W163,Prüfanforderungen!$D$3:$D$181,"FFU/Fitting",Prüfanforderungen!$K$3:$K$181,"&gt;=0")=0,"Preis auf Anfrage",SUMIFS(Prüfanforderungen!$K$3:$K$181,Prüfanforderungen!$P$3:$P$181,$W163,Prüfanforderungen!$D$3:$D$181,"FFU/Fitting"))</f>
        <v>Preis auf Anfrage</v>
      </c>
      <c r="Q163" s="11"/>
      <c r="R163" s="11"/>
      <c r="S163" s="13" t="str">
        <f aca="false">IF(COUNTIFS(Prüfanforderungen!$P$3:$P$181,$W163,Prüfanforderungen!$D$3:$D$181,"NGO / StiWa",Prüfanforderungen!$K$3:$K$181,"&gt;=0")=0,"Preis auf Anfrage",SUMIFS(Prüfanforderungen!$K$3:$K$181,Prüfanforderungen!$P$3:$P$181,$W163,Prüfanforderungen!$D$3:$D$181,"NGO / StiWa"))</f>
        <v>Preis auf Anfrage</v>
      </c>
      <c r="T163" s="11"/>
      <c r="U163" s="13" t="n">
        <v>400</v>
      </c>
      <c r="V163" s="13" t="n">
        <v>800</v>
      </c>
      <c r="W163" s="11" t="s">
        <v>942</v>
      </c>
    </row>
    <row r="164" customFormat="false" ht="68.65" hidden="false" customHeight="false" outlineLevel="0" collapsed="false">
      <c r="A164" s="11" t="s">
        <v>731</v>
      </c>
      <c r="B164" s="11" t="s">
        <v>742</v>
      </c>
      <c r="C164" s="12" t="s">
        <v>940</v>
      </c>
      <c r="D164" s="11" t="s">
        <v>745</v>
      </c>
      <c r="E164" s="11" t="str">
        <f aca="false">IF(COUNTIFS(Prüfanforderungen!$P$3:$P$181,$W164)=0,"keine Norm hinterlegt",IF($L164=0,"0 € hinterlegt",""))</f>
        <v/>
      </c>
      <c r="F164" s="12" t="s">
        <v>139</v>
      </c>
      <c r="G164" s="12" t="n">
        <v>2</v>
      </c>
      <c r="H164" s="12"/>
      <c r="I164" s="12" t="s">
        <v>42</v>
      </c>
      <c r="J164" s="12" t="s">
        <v>42</v>
      </c>
      <c r="K164" s="11" t="s">
        <v>179</v>
      </c>
      <c r="L164" s="13" t="n">
        <f aca="false">IF(COUNTIFS(Prüfanforderungen!$P$3:$P$181,$W164,Prüfanforderungen!$D$3:$D$181,"Sicherheit-/Normprüfung",Prüfanforderungen!$K$3:$K$181,"&gt;=0")=0,"Preis auf Anfrage",SUMIFS(Prüfanforderungen!$K$3:$K$181,Prüfanforderungen!$P$3:$P$181,$W164,Prüfanforderungen!$D$3:$D$181,"Sicherheit-/Normprüfung"))</f>
        <v>1810</v>
      </c>
      <c r="M164" s="11"/>
      <c r="N164" s="11" t="s">
        <v>943</v>
      </c>
      <c r="O164" s="11"/>
      <c r="P164" s="13" t="str">
        <f aca="false">IF(COUNTIFS(Prüfanforderungen!$P$3:$P$181,$W164,Prüfanforderungen!$D$3:$D$181,"FFU/Fitting",Prüfanforderungen!$K$3:$K$181,"&gt;=0")=0,"Preis auf Anfrage",SUMIFS(Prüfanforderungen!$K$3:$K$181,Prüfanforderungen!$P$3:$P$181,$W164,Prüfanforderungen!$D$3:$D$181,"FFU/Fitting"))</f>
        <v>Preis auf Anfrage</v>
      </c>
      <c r="Q164" s="11"/>
      <c r="R164" s="11"/>
      <c r="S164" s="13" t="str">
        <f aca="false">IF(COUNTIFS(Prüfanforderungen!$P$3:$P$181,$W164,Prüfanforderungen!$D$3:$D$181,"NGO / StiWa",Prüfanforderungen!$K$3:$K$181,"&gt;=0")=0,"Preis auf Anfrage",SUMIFS(Prüfanforderungen!$K$3:$K$181,Prüfanforderungen!$P$3:$P$181,$W164,Prüfanforderungen!$D$3:$D$181,"NGO / StiWa"))</f>
        <v>Preis auf Anfrage</v>
      </c>
      <c r="T164" s="11"/>
      <c r="U164" s="13" t="n">
        <v>900</v>
      </c>
      <c r="V164" s="13" t="n">
        <v>1800</v>
      </c>
      <c r="W164" s="11" t="s">
        <v>746</v>
      </c>
    </row>
    <row r="165" customFormat="false" ht="46.25" hidden="false" customHeight="false" outlineLevel="0" collapsed="false">
      <c r="A165" s="11" t="s">
        <v>731</v>
      </c>
      <c r="B165" s="11" t="s">
        <v>742</v>
      </c>
      <c r="C165" s="12" t="s">
        <v>940</v>
      </c>
      <c r="D165" s="11" t="s">
        <v>747</v>
      </c>
      <c r="E165" s="11" t="str">
        <f aca="false">IF(COUNTIFS(Prüfanforderungen!$P$3:$P$181,$W165)=0,"keine Norm hinterlegt",IF($L165=0,"0 € hinterlegt",""))</f>
        <v/>
      </c>
      <c r="F165" s="12" t="s">
        <v>42</v>
      </c>
      <c r="G165" s="12" t="n">
        <v>2</v>
      </c>
      <c r="H165" s="12"/>
      <c r="I165" s="12" t="s">
        <v>42</v>
      </c>
      <c r="J165" s="12" t="s">
        <v>42</v>
      </c>
      <c r="K165" s="11" t="s">
        <v>282</v>
      </c>
      <c r="L165" s="13" t="n">
        <f aca="false">IF(COUNTIFS(Prüfanforderungen!$P$3:$P$181,$W165,Prüfanforderungen!$D$3:$D$181,"Sicherheit-/Normprüfung",Prüfanforderungen!$K$3:$K$181,"&gt;=0")=0,"Preis auf Anfrage",SUMIFS(Prüfanforderungen!$K$3:$K$181,Prüfanforderungen!$P$3:$P$181,$W165,Prüfanforderungen!$D$3:$D$181,"Sicherheit-/Normprüfung"))</f>
        <v>720</v>
      </c>
      <c r="M165" s="11"/>
      <c r="N165" s="11"/>
      <c r="O165" s="11"/>
      <c r="P165" s="13" t="str">
        <f aca="false">IF(COUNTIFS(Prüfanforderungen!$P$3:$P$181,$W165,Prüfanforderungen!$D$3:$D$181,"FFU/Fitting",Prüfanforderungen!$K$3:$K$181,"&gt;=0")=0,"Preis auf Anfrage",SUMIFS(Prüfanforderungen!$K$3:$K$181,Prüfanforderungen!$P$3:$P$181,$W165,Prüfanforderungen!$D$3:$D$181,"FFU/Fitting"))</f>
        <v>Preis auf Anfrage</v>
      </c>
      <c r="Q165" s="11"/>
      <c r="R165" s="11"/>
      <c r="S165" s="13" t="str">
        <f aca="false">IF(COUNTIFS(Prüfanforderungen!$P$3:$P$181,$W165,Prüfanforderungen!$D$3:$D$181,"NGO / StiWa",Prüfanforderungen!$K$3:$K$181,"&gt;=0")=0,"Preis auf Anfrage",SUMIFS(Prüfanforderungen!$K$3:$K$181,Prüfanforderungen!$P$3:$P$181,$W165,Prüfanforderungen!$D$3:$D$181,"NGO / StiWa"))</f>
        <v>Preis auf Anfrage</v>
      </c>
      <c r="T165" s="11"/>
      <c r="U165" s="13" t="n">
        <v>480</v>
      </c>
      <c r="V165" s="13" t="n">
        <v>960</v>
      </c>
      <c r="W165" s="11" t="s">
        <v>748</v>
      </c>
    </row>
    <row r="166" customFormat="false" ht="46.25" hidden="false" customHeight="false" outlineLevel="0" collapsed="false">
      <c r="A166" s="11" t="s">
        <v>731</v>
      </c>
      <c r="B166" s="11" t="s">
        <v>749</v>
      </c>
      <c r="C166" s="12" t="s">
        <v>944</v>
      </c>
      <c r="D166" s="11" t="s">
        <v>750</v>
      </c>
      <c r="E166" s="11" t="str">
        <f aca="false">IF(COUNTIFS(Prüfanforderungen!$P$3:$P$181,$W166)=0,"keine Norm hinterlegt",IF($L166=0,"0 € hinterlegt",""))</f>
        <v>0 € hinterlegt</v>
      </c>
      <c r="F166" s="12" t="s">
        <v>139</v>
      </c>
      <c r="G166" s="12" t="n">
        <v>2</v>
      </c>
      <c r="H166" s="12"/>
      <c r="I166" s="12" t="s">
        <v>42</v>
      </c>
      <c r="J166" s="12" t="s">
        <v>42</v>
      </c>
      <c r="K166" s="11" t="s">
        <v>50</v>
      </c>
      <c r="L166" s="13" t="n">
        <f aca="false">IF(COUNTIFS(Prüfanforderungen!$P$3:$P$181,$W166,Prüfanforderungen!$D$3:$D$181,"Sicherheit-/Normprüfung",Prüfanforderungen!$K$3:$K$181,"&gt;=0")=0,"Preis auf Anfrage",SUMIFS(Prüfanforderungen!$K$3:$K$181,Prüfanforderungen!$P$3:$P$181,$W166,Prüfanforderungen!$D$3:$D$181,"Sicherheit-/Normprüfung"))</f>
        <v>0</v>
      </c>
      <c r="M166" s="11"/>
      <c r="N166" s="11" t="s">
        <v>815</v>
      </c>
      <c r="O166" s="11"/>
      <c r="P166" s="13" t="str">
        <f aca="false">IF(COUNTIFS(Prüfanforderungen!$P$3:$P$181,$W166,Prüfanforderungen!$D$3:$D$181,"FFU/Fitting",Prüfanforderungen!$K$3:$K$181,"&gt;=0")=0,"Preis auf Anfrage",SUMIFS(Prüfanforderungen!$K$3:$K$181,Prüfanforderungen!$P$3:$P$181,$W166,Prüfanforderungen!$D$3:$D$181,"FFU/Fitting"))</f>
        <v>Preis auf Anfrage</v>
      </c>
      <c r="Q166" s="11"/>
      <c r="R166" s="11"/>
      <c r="S166" s="13" t="str">
        <f aca="false">IF(COUNTIFS(Prüfanforderungen!$P$3:$P$181,$W166,Prüfanforderungen!$D$3:$D$181,"NGO / StiWa",Prüfanforderungen!$K$3:$K$181,"&gt;=0")=0,"Preis auf Anfrage",SUMIFS(Prüfanforderungen!$K$3:$K$181,Prüfanforderungen!$P$3:$P$181,$W166,Prüfanforderungen!$D$3:$D$181,"NGO / StiWa"))</f>
        <v>Preis auf Anfrage</v>
      </c>
      <c r="T166" s="11"/>
      <c r="U166" s="13"/>
      <c r="V166" s="13" t="n">
        <v>360</v>
      </c>
      <c r="W166" s="11" t="s">
        <v>751</v>
      </c>
    </row>
    <row r="167" customFormat="false" ht="46.25" hidden="false" customHeight="false" outlineLevel="0" collapsed="false">
      <c r="A167" s="11" t="s">
        <v>731</v>
      </c>
      <c r="B167" s="11" t="s">
        <v>749</v>
      </c>
      <c r="C167" s="12" t="s">
        <v>944</v>
      </c>
      <c r="D167" s="11" t="s">
        <v>752</v>
      </c>
      <c r="E167" s="11" t="str">
        <f aca="false">IF(COUNTIFS(Prüfanforderungen!$P$3:$P$181,$W167)=0,"keine Norm hinterlegt",IF($L167=0,"0 € hinterlegt",""))</f>
        <v>0 € hinterlegt</v>
      </c>
      <c r="F167" s="12" t="s">
        <v>42</v>
      </c>
      <c r="G167" s="12" t="n">
        <v>2</v>
      </c>
      <c r="H167" s="12"/>
      <c r="I167" s="12" t="s">
        <v>42</v>
      </c>
      <c r="J167" s="12" t="s">
        <v>42</v>
      </c>
      <c r="K167" s="11" t="s">
        <v>188</v>
      </c>
      <c r="L167" s="13" t="n">
        <f aca="false">IF(COUNTIFS(Prüfanforderungen!$P$3:$P$181,$W167,Prüfanforderungen!$D$3:$D$181,"Sicherheit-/Normprüfung",Prüfanforderungen!$K$3:$K$181,"&gt;=0")=0,"Preis auf Anfrage",SUMIFS(Prüfanforderungen!$K$3:$K$181,Prüfanforderungen!$P$3:$P$181,$W167,Prüfanforderungen!$D$3:$D$181,"Sicherheit-/Normprüfung"))</f>
        <v>0</v>
      </c>
      <c r="M167" s="11"/>
      <c r="N167" s="11" t="s">
        <v>945</v>
      </c>
      <c r="O167" s="11"/>
      <c r="P167" s="13" t="str">
        <f aca="false">IF(COUNTIFS(Prüfanforderungen!$P$3:$P$181,$W167,Prüfanforderungen!$D$3:$D$181,"FFU/Fitting",Prüfanforderungen!$K$3:$K$181,"&gt;=0")=0,"Preis auf Anfrage",SUMIFS(Prüfanforderungen!$K$3:$K$181,Prüfanforderungen!$P$3:$P$181,$W167,Prüfanforderungen!$D$3:$D$181,"FFU/Fitting"))</f>
        <v>Preis auf Anfrage</v>
      </c>
      <c r="Q167" s="11"/>
      <c r="R167" s="11"/>
      <c r="S167" s="13" t="str">
        <f aca="false">IF(COUNTIFS(Prüfanforderungen!$P$3:$P$181,$W167,Prüfanforderungen!$D$3:$D$181,"NGO / StiWa",Prüfanforderungen!$K$3:$K$181,"&gt;=0")=0,"Preis auf Anfrage",SUMIFS(Prüfanforderungen!$K$3:$K$181,Prüfanforderungen!$P$3:$P$181,$W167,Prüfanforderungen!$D$3:$D$181,"NGO / StiWa"))</f>
        <v>Preis auf Anfrage</v>
      </c>
      <c r="T167" s="11"/>
      <c r="U167" s="13"/>
      <c r="V167" s="13"/>
      <c r="W167" s="11" t="s">
        <v>753</v>
      </c>
    </row>
    <row r="168" customFormat="false" ht="35.05" hidden="false" customHeight="false" outlineLevel="0" collapsed="false">
      <c r="A168" s="11" t="s">
        <v>731</v>
      </c>
      <c r="B168" s="11" t="s">
        <v>749</v>
      </c>
      <c r="C168" s="12" t="s">
        <v>944</v>
      </c>
      <c r="D168" s="11" t="s">
        <v>754</v>
      </c>
      <c r="E168" s="11" t="str">
        <f aca="false">IF(COUNTIFS(Prüfanforderungen!$P$3:$P$181,$W168)=0,"keine Norm hinterlegt",IF($L168=0,"0 € hinterlegt",""))</f>
        <v/>
      </c>
      <c r="F168" s="12" t="s">
        <v>139</v>
      </c>
      <c r="G168" s="12" t="n">
        <v>2</v>
      </c>
      <c r="H168" s="12"/>
      <c r="I168" s="12" t="s">
        <v>42</v>
      </c>
      <c r="J168" s="12" t="s">
        <v>42</v>
      </c>
      <c r="K168" s="11" t="s">
        <v>50</v>
      </c>
      <c r="L168" s="13" t="n">
        <f aca="false">IF(COUNTIFS(Prüfanforderungen!$P$3:$P$181,$W168,Prüfanforderungen!$D$3:$D$181,"Sicherheit-/Normprüfung",Prüfanforderungen!$K$3:$K$181,"&gt;=0")=0,"Preis auf Anfrage",SUMIFS(Prüfanforderungen!$K$3:$K$181,Prüfanforderungen!$P$3:$P$181,$W168,Prüfanforderungen!$D$3:$D$181,"Sicherheit-/Normprüfung"))</f>
        <v>540</v>
      </c>
      <c r="M168" s="11"/>
      <c r="N168" s="11" t="s">
        <v>815</v>
      </c>
      <c r="O168" s="11"/>
      <c r="P168" s="13" t="str">
        <f aca="false">IF(COUNTIFS(Prüfanforderungen!$P$3:$P$181,$W168,Prüfanforderungen!$D$3:$D$181,"FFU/Fitting",Prüfanforderungen!$K$3:$K$181,"&gt;=0")=0,"Preis auf Anfrage",SUMIFS(Prüfanforderungen!$K$3:$K$181,Prüfanforderungen!$P$3:$P$181,$W168,Prüfanforderungen!$D$3:$D$181,"FFU/Fitting"))</f>
        <v>Preis auf Anfrage</v>
      </c>
      <c r="Q168" s="11"/>
      <c r="R168" s="11"/>
      <c r="S168" s="13" t="str">
        <f aca="false">IF(COUNTIFS(Prüfanforderungen!$P$3:$P$181,$W168,Prüfanforderungen!$D$3:$D$181,"NGO / StiWa",Prüfanforderungen!$K$3:$K$181,"&gt;=0")=0,"Preis auf Anfrage",SUMIFS(Prüfanforderungen!$K$3:$K$181,Prüfanforderungen!$P$3:$P$181,$W168,Prüfanforderungen!$D$3:$D$181,"NGO / StiWa"))</f>
        <v>Preis auf Anfrage</v>
      </c>
      <c r="T168" s="11"/>
      <c r="U168" s="13" t="n">
        <v>240</v>
      </c>
      <c r="V168" s="13" t="n">
        <v>480</v>
      </c>
      <c r="W168" s="11" t="s">
        <v>755</v>
      </c>
    </row>
    <row r="169" customFormat="false" ht="46.25" hidden="false" customHeight="false" outlineLevel="0" collapsed="false">
      <c r="A169" s="11" t="s">
        <v>731</v>
      </c>
      <c r="B169" s="11" t="s">
        <v>749</v>
      </c>
      <c r="C169" s="12" t="s">
        <v>944</v>
      </c>
      <c r="D169" s="11" t="s">
        <v>946</v>
      </c>
      <c r="E169" s="11" t="str">
        <f aca="false">IF(COUNTIFS(Prüfanforderungen!$P$3:$P$181,$W169)=0,"keine Norm hinterlegt",IF($L169=0,"0 € hinterlegt",""))</f>
        <v>keine Norm hinterlegt</v>
      </c>
      <c r="F169" s="12" t="s">
        <v>42</v>
      </c>
      <c r="G169" s="12"/>
      <c r="H169" s="12"/>
      <c r="I169" s="12" t="s">
        <v>42</v>
      </c>
      <c r="J169" s="12" t="s">
        <v>42</v>
      </c>
      <c r="K169" s="11"/>
      <c r="L169" s="13" t="str">
        <f aca="false">IF(COUNTIFS(Prüfanforderungen!$P$3:$P$181,$W169,Prüfanforderungen!$D$3:$D$181,"Sicherheit-/Normprüfung",Prüfanforderungen!$K$3:$K$181,"&gt;=0")=0,"Preis auf Anfrage",SUMIFS(Prüfanforderungen!$K$3:$K$181,Prüfanforderungen!$P$3:$P$181,$W169,Prüfanforderungen!$D$3:$D$181,"Sicherheit-/Normprüfung"))</f>
        <v>Preis auf Anfrage</v>
      </c>
      <c r="M169" s="11"/>
      <c r="N169" s="11"/>
      <c r="O169" s="11"/>
      <c r="P169" s="13" t="str">
        <f aca="false">IF(COUNTIFS(Prüfanforderungen!$P$3:$P$181,$W169,Prüfanforderungen!$D$3:$D$181,"FFU/Fitting",Prüfanforderungen!$K$3:$K$181,"&gt;=0")=0,"Preis auf Anfrage",SUMIFS(Prüfanforderungen!$K$3:$K$181,Prüfanforderungen!$P$3:$P$181,$W169,Prüfanforderungen!$D$3:$D$181,"FFU/Fitting"))</f>
        <v>Preis auf Anfrage</v>
      </c>
      <c r="Q169" s="11"/>
      <c r="R169" s="11"/>
      <c r="S169" s="13" t="str">
        <f aca="false">IF(COUNTIFS(Prüfanforderungen!$P$3:$P$181,$W169,Prüfanforderungen!$D$3:$D$181,"NGO / StiWa",Prüfanforderungen!$K$3:$K$181,"&gt;=0")=0,"Preis auf Anfrage",SUMIFS(Prüfanforderungen!$K$3:$K$181,Prüfanforderungen!$P$3:$P$181,$W169,Prüfanforderungen!$D$3:$D$181,"NGO / StiWa"))</f>
        <v>Preis auf Anfrage</v>
      </c>
      <c r="T169" s="11"/>
      <c r="U169" s="13" t="n">
        <v>0</v>
      </c>
      <c r="V169" s="13"/>
      <c r="W169" s="11" t="s">
        <v>947</v>
      </c>
    </row>
    <row r="170" customFormat="false" ht="46.25" hidden="false" customHeight="false" outlineLevel="0" collapsed="false">
      <c r="A170" s="11" t="s">
        <v>731</v>
      </c>
      <c r="B170" s="11" t="s">
        <v>749</v>
      </c>
      <c r="C170" s="12" t="s">
        <v>944</v>
      </c>
      <c r="D170" s="11" t="s">
        <v>756</v>
      </c>
      <c r="E170" s="11" t="str">
        <f aca="false">IF(COUNTIFS(Prüfanforderungen!$P$3:$P$181,$W170)=0,"keine Norm hinterlegt",IF($L170=0,"0 € hinterlegt",""))</f>
        <v>0 € hinterlegt</v>
      </c>
      <c r="F170" s="12" t="s">
        <v>139</v>
      </c>
      <c r="G170" s="12" t="n">
        <v>2</v>
      </c>
      <c r="H170" s="12"/>
      <c r="I170" s="12" t="s">
        <v>42</v>
      </c>
      <c r="J170" s="12" t="s">
        <v>42</v>
      </c>
      <c r="K170" s="11" t="s">
        <v>50</v>
      </c>
      <c r="L170" s="13" t="n">
        <f aca="false">IF(COUNTIFS(Prüfanforderungen!$P$3:$P$181,$W170,Prüfanforderungen!$D$3:$D$181,"Sicherheit-/Normprüfung",Prüfanforderungen!$K$3:$K$181,"&gt;=0")=0,"Preis auf Anfrage",SUMIFS(Prüfanforderungen!$K$3:$K$181,Prüfanforderungen!$P$3:$P$181,$W170,Prüfanforderungen!$D$3:$D$181,"Sicherheit-/Normprüfung"))</f>
        <v>0</v>
      </c>
      <c r="M170" s="11"/>
      <c r="N170" s="11" t="s">
        <v>815</v>
      </c>
      <c r="O170" s="11"/>
      <c r="P170" s="13" t="str">
        <f aca="false">IF(COUNTIFS(Prüfanforderungen!$P$3:$P$181,$W170,Prüfanforderungen!$D$3:$D$181,"FFU/Fitting",Prüfanforderungen!$K$3:$K$181,"&gt;=0")=0,"Preis auf Anfrage",SUMIFS(Prüfanforderungen!$K$3:$K$181,Prüfanforderungen!$P$3:$P$181,$W170,Prüfanforderungen!$D$3:$D$181,"FFU/Fitting"))</f>
        <v>Preis auf Anfrage</v>
      </c>
      <c r="Q170" s="11"/>
      <c r="R170" s="11"/>
      <c r="S170" s="13" t="str">
        <f aca="false">IF(COUNTIFS(Prüfanforderungen!$P$3:$P$181,$W170,Prüfanforderungen!$D$3:$D$181,"NGO / StiWa",Prüfanforderungen!$K$3:$K$181,"&gt;=0")=0,"Preis auf Anfrage",SUMIFS(Prüfanforderungen!$K$3:$K$181,Prüfanforderungen!$P$3:$P$181,$W170,Prüfanforderungen!$D$3:$D$181,"NGO / StiWa"))</f>
        <v>Preis auf Anfrage</v>
      </c>
      <c r="T170" s="11"/>
      <c r="U170" s="13"/>
      <c r="V170" s="13" t="n">
        <v>300</v>
      </c>
      <c r="W170" s="11" t="s">
        <v>757</v>
      </c>
    </row>
    <row r="171" customFormat="false" ht="46.25" hidden="false" customHeight="false" outlineLevel="0" collapsed="false">
      <c r="A171" s="11" t="s">
        <v>731</v>
      </c>
      <c r="B171" s="11" t="s">
        <v>749</v>
      </c>
      <c r="C171" s="12" t="s">
        <v>944</v>
      </c>
      <c r="D171" s="11" t="s">
        <v>758</v>
      </c>
      <c r="E171" s="11" t="str">
        <f aca="false">IF(COUNTIFS(Prüfanforderungen!$P$3:$P$181,$W171)=0,"keine Norm hinterlegt",IF($L171=0,"0 € hinterlegt",""))</f>
        <v/>
      </c>
      <c r="F171" s="12" t="s">
        <v>139</v>
      </c>
      <c r="G171" s="12" t="n">
        <v>2</v>
      </c>
      <c r="H171" s="12"/>
      <c r="I171" s="12" t="s">
        <v>42</v>
      </c>
      <c r="J171" s="12" t="s">
        <v>42</v>
      </c>
      <c r="K171" s="11" t="s">
        <v>50</v>
      </c>
      <c r="L171" s="13" t="n">
        <f aca="false">IF(COUNTIFS(Prüfanforderungen!$P$3:$P$181,$W171,Prüfanforderungen!$D$3:$D$181,"Sicherheit-/Normprüfung",Prüfanforderungen!$K$3:$K$181,"&gt;=0")=0,"Preis auf Anfrage",SUMIFS(Prüfanforderungen!$K$3:$K$181,Prüfanforderungen!$P$3:$P$181,$W171,Prüfanforderungen!$D$3:$D$181,"Sicherheit-/Normprüfung"))</f>
        <v>540</v>
      </c>
      <c r="M171" s="11"/>
      <c r="N171" s="11" t="s">
        <v>815</v>
      </c>
      <c r="O171" s="11"/>
      <c r="P171" s="13" t="str">
        <f aca="false">IF(COUNTIFS(Prüfanforderungen!$P$3:$P$181,$W171,Prüfanforderungen!$D$3:$D$181,"FFU/Fitting",Prüfanforderungen!$K$3:$K$181,"&gt;=0")=0,"Preis auf Anfrage",SUMIFS(Prüfanforderungen!$K$3:$K$181,Prüfanforderungen!$P$3:$P$181,$W171,Prüfanforderungen!$D$3:$D$181,"FFU/Fitting"))</f>
        <v>Preis auf Anfrage</v>
      </c>
      <c r="Q171" s="11"/>
      <c r="R171" s="11"/>
      <c r="S171" s="13" t="str">
        <f aca="false">IF(COUNTIFS(Prüfanforderungen!$P$3:$P$181,$W171,Prüfanforderungen!$D$3:$D$181,"NGO / StiWa",Prüfanforderungen!$K$3:$K$181,"&gt;=0")=0,"Preis auf Anfrage",SUMIFS(Prüfanforderungen!$K$3:$K$181,Prüfanforderungen!$P$3:$P$181,$W171,Prüfanforderungen!$D$3:$D$181,"NGO / StiWa"))</f>
        <v>Preis auf Anfrage</v>
      </c>
      <c r="T171" s="11"/>
      <c r="U171" s="13" t="n">
        <v>240</v>
      </c>
      <c r="V171" s="13" t="n">
        <v>480</v>
      </c>
      <c r="W171" s="11" t="s">
        <v>759</v>
      </c>
    </row>
    <row r="172" customFormat="false" ht="46.25" hidden="false" customHeight="false" outlineLevel="0" collapsed="false">
      <c r="A172" s="11" t="s">
        <v>731</v>
      </c>
      <c r="B172" s="11" t="s">
        <v>749</v>
      </c>
      <c r="C172" s="12" t="s">
        <v>944</v>
      </c>
      <c r="D172" s="11" t="s">
        <v>760</v>
      </c>
      <c r="E172" s="11" t="str">
        <f aca="false">IF(COUNTIFS(Prüfanforderungen!$P$3:$P$181,$W172)=0,"keine Norm hinterlegt",IF($L172=0,"0 € hinterlegt",""))</f>
        <v/>
      </c>
      <c r="F172" s="12" t="s">
        <v>42</v>
      </c>
      <c r="G172" s="12" t="n">
        <v>2</v>
      </c>
      <c r="H172" s="12"/>
      <c r="I172" s="12" t="s">
        <v>42</v>
      </c>
      <c r="J172" s="12" t="s">
        <v>42</v>
      </c>
      <c r="K172" s="11" t="s">
        <v>122</v>
      </c>
      <c r="L172" s="13" t="n">
        <f aca="false">IF(COUNTIFS(Prüfanforderungen!$P$3:$P$181,$W172,Prüfanforderungen!$D$3:$D$181,"Sicherheit-/Normprüfung",Prüfanforderungen!$K$3:$K$181,"&gt;=0")=0,"Preis auf Anfrage",SUMIFS(Prüfanforderungen!$K$3:$K$181,Prüfanforderungen!$P$3:$P$181,$W172,Prüfanforderungen!$D$3:$D$181,"Sicherheit-/Normprüfung"))</f>
        <v>1080</v>
      </c>
      <c r="M172" s="11"/>
      <c r="N172" s="11"/>
      <c r="O172" s="11"/>
      <c r="P172" s="13" t="str">
        <f aca="false">IF(COUNTIFS(Prüfanforderungen!$P$3:$P$181,$W172,Prüfanforderungen!$D$3:$D$181,"FFU/Fitting",Prüfanforderungen!$K$3:$K$181,"&gt;=0")=0,"Preis auf Anfrage",SUMIFS(Prüfanforderungen!$K$3:$K$181,Prüfanforderungen!$P$3:$P$181,$W172,Prüfanforderungen!$D$3:$D$181,"FFU/Fitting"))</f>
        <v>Preis auf Anfrage</v>
      </c>
      <c r="Q172" s="11"/>
      <c r="R172" s="11"/>
      <c r="S172" s="13" t="str">
        <f aca="false">IF(COUNTIFS(Prüfanforderungen!$P$3:$P$181,$W172,Prüfanforderungen!$D$3:$D$181,"NGO / StiWa",Prüfanforderungen!$K$3:$K$181,"&gt;=0")=0,"Preis auf Anfrage",SUMIFS(Prüfanforderungen!$K$3:$K$181,Prüfanforderungen!$P$3:$P$181,$W172,Prüfanforderungen!$D$3:$D$181,"NGO / StiWa"))</f>
        <v>Preis auf Anfrage</v>
      </c>
      <c r="T172" s="11"/>
      <c r="U172" s="13" t="n">
        <v>360</v>
      </c>
      <c r="V172" s="13" t="n">
        <v>720</v>
      </c>
      <c r="W172" s="11" t="s">
        <v>761</v>
      </c>
    </row>
    <row r="173" customFormat="false" ht="46.25" hidden="false" customHeight="false" outlineLevel="0" collapsed="false">
      <c r="A173" s="11" t="s">
        <v>731</v>
      </c>
      <c r="B173" s="11" t="s">
        <v>749</v>
      </c>
      <c r="C173" s="12" t="s">
        <v>944</v>
      </c>
      <c r="D173" s="11" t="s">
        <v>762</v>
      </c>
      <c r="E173" s="11" t="str">
        <f aca="false">IF(COUNTIFS(Prüfanforderungen!$P$3:$P$181,$W173)=0,"keine Norm hinterlegt",IF($L173=0,"0 € hinterlegt",""))</f>
        <v/>
      </c>
      <c r="F173" s="12" t="s">
        <v>139</v>
      </c>
      <c r="G173" s="12" t="n">
        <v>2</v>
      </c>
      <c r="H173" s="12"/>
      <c r="I173" s="12" t="s">
        <v>42</v>
      </c>
      <c r="J173" s="12" t="s">
        <v>42</v>
      </c>
      <c r="K173" s="11" t="s">
        <v>50</v>
      </c>
      <c r="L173" s="13" t="n">
        <f aca="false">IF(COUNTIFS(Prüfanforderungen!$P$3:$P$181,$W173,Prüfanforderungen!$D$3:$D$181,"Sicherheit-/Normprüfung",Prüfanforderungen!$K$3:$K$181,"&gt;=0")=0,"Preis auf Anfrage",SUMIFS(Prüfanforderungen!$K$3:$K$181,Prüfanforderungen!$P$3:$P$181,$W173,Prüfanforderungen!$D$3:$D$181,"Sicherheit-/Normprüfung"))</f>
        <v>540</v>
      </c>
      <c r="M173" s="11"/>
      <c r="N173" s="11" t="s">
        <v>815</v>
      </c>
      <c r="O173" s="11"/>
      <c r="P173" s="13" t="str">
        <f aca="false">IF(COUNTIFS(Prüfanforderungen!$P$3:$P$181,$W173,Prüfanforderungen!$D$3:$D$181,"FFU/Fitting",Prüfanforderungen!$K$3:$K$181,"&gt;=0")=0,"Preis auf Anfrage",SUMIFS(Prüfanforderungen!$K$3:$K$181,Prüfanforderungen!$P$3:$P$181,$W173,Prüfanforderungen!$D$3:$D$181,"FFU/Fitting"))</f>
        <v>Preis auf Anfrage</v>
      </c>
      <c r="Q173" s="11"/>
      <c r="R173" s="11"/>
      <c r="S173" s="13" t="str">
        <f aca="false">IF(COUNTIFS(Prüfanforderungen!$P$3:$P$181,$W173,Prüfanforderungen!$D$3:$D$181,"NGO / StiWa",Prüfanforderungen!$K$3:$K$181,"&gt;=0")=0,"Preis auf Anfrage",SUMIFS(Prüfanforderungen!$K$3:$K$181,Prüfanforderungen!$P$3:$P$181,$W173,Prüfanforderungen!$D$3:$D$181,"NGO / StiWa"))</f>
        <v>Preis auf Anfrage</v>
      </c>
      <c r="T173" s="11"/>
      <c r="U173" s="13" t="n">
        <v>180</v>
      </c>
      <c r="V173" s="13" t="n">
        <v>360</v>
      </c>
      <c r="W173" s="11" t="s">
        <v>763</v>
      </c>
    </row>
    <row r="174" customFormat="false" ht="46.25" hidden="false" customHeight="false" outlineLevel="0" collapsed="false">
      <c r="A174" s="11" t="s">
        <v>731</v>
      </c>
      <c r="B174" s="11" t="s">
        <v>749</v>
      </c>
      <c r="C174" s="12" t="s">
        <v>944</v>
      </c>
      <c r="D174" s="11" t="s">
        <v>948</v>
      </c>
      <c r="E174" s="11" t="str">
        <f aca="false">IF(COUNTIFS(Prüfanforderungen!$P$3:$P$181,$W174)=0,"keine Norm hinterlegt",IF($L174=0,"0 € hinterlegt",""))</f>
        <v>keine Norm hinterlegt</v>
      </c>
      <c r="F174" s="12" t="s">
        <v>42</v>
      </c>
      <c r="G174" s="12"/>
      <c r="H174" s="12"/>
      <c r="I174" s="12" t="s">
        <v>42</v>
      </c>
      <c r="J174" s="12" t="s">
        <v>42</v>
      </c>
      <c r="K174" s="11"/>
      <c r="L174" s="13" t="str">
        <f aca="false">IF(COUNTIFS(Prüfanforderungen!$P$3:$P$181,$W174,Prüfanforderungen!$D$3:$D$181,"Sicherheit-/Normprüfung",Prüfanforderungen!$K$3:$K$181,"&gt;=0")=0,"Preis auf Anfrage",SUMIFS(Prüfanforderungen!$K$3:$K$181,Prüfanforderungen!$P$3:$P$181,$W174,Prüfanforderungen!$D$3:$D$181,"Sicherheit-/Normprüfung"))</f>
        <v>Preis auf Anfrage</v>
      </c>
      <c r="M174" s="11"/>
      <c r="N174" s="11"/>
      <c r="O174" s="11"/>
      <c r="P174" s="13" t="str">
        <f aca="false">IF(COUNTIFS(Prüfanforderungen!$P$3:$P$181,$W174,Prüfanforderungen!$D$3:$D$181,"FFU/Fitting",Prüfanforderungen!$K$3:$K$181,"&gt;=0")=0,"Preis auf Anfrage",SUMIFS(Prüfanforderungen!$K$3:$K$181,Prüfanforderungen!$P$3:$P$181,$W174,Prüfanforderungen!$D$3:$D$181,"FFU/Fitting"))</f>
        <v>Preis auf Anfrage</v>
      </c>
      <c r="Q174" s="11"/>
      <c r="R174" s="11"/>
      <c r="S174" s="13" t="str">
        <f aca="false">IF(COUNTIFS(Prüfanforderungen!$P$3:$P$181,$W174,Prüfanforderungen!$D$3:$D$181,"NGO / StiWa",Prüfanforderungen!$K$3:$K$181,"&gt;=0")=0,"Preis auf Anfrage",SUMIFS(Prüfanforderungen!$K$3:$K$181,Prüfanforderungen!$P$3:$P$181,$W174,Prüfanforderungen!$D$3:$D$181,"NGO / StiWa"))</f>
        <v>Preis auf Anfrage</v>
      </c>
      <c r="T174" s="11"/>
      <c r="U174" s="13" t="n">
        <v>0</v>
      </c>
      <c r="V174" s="13"/>
      <c r="W174" s="11" t="s">
        <v>949</v>
      </c>
    </row>
    <row r="175" customFormat="false" ht="46.25" hidden="false" customHeight="false" outlineLevel="0" collapsed="false">
      <c r="A175" s="11" t="s">
        <v>731</v>
      </c>
      <c r="B175" s="11" t="s">
        <v>749</v>
      </c>
      <c r="C175" s="12" t="s">
        <v>944</v>
      </c>
      <c r="D175" s="11" t="s">
        <v>764</v>
      </c>
      <c r="E175" s="11" t="str">
        <f aca="false">IF(COUNTIFS(Prüfanforderungen!$P$3:$P$181,$W175)=0,"keine Norm hinterlegt",IF($L175=0,"0 € hinterlegt",""))</f>
        <v/>
      </c>
      <c r="F175" s="12" t="s">
        <v>139</v>
      </c>
      <c r="G175" s="12" t="n">
        <v>2</v>
      </c>
      <c r="H175" s="12"/>
      <c r="I175" s="12" t="s">
        <v>42</v>
      </c>
      <c r="J175" s="12" t="s">
        <v>42</v>
      </c>
      <c r="K175" s="11" t="s">
        <v>50</v>
      </c>
      <c r="L175" s="13" t="n">
        <f aca="false">IF(COUNTIFS(Prüfanforderungen!$P$3:$P$181,$W175,Prüfanforderungen!$D$3:$D$181,"Sicherheit-/Normprüfung",Prüfanforderungen!$K$3:$K$181,"&gt;=0")=0,"Preis auf Anfrage",SUMIFS(Prüfanforderungen!$K$3:$K$181,Prüfanforderungen!$P$3:$P$181,$W175,Prüfanforderungen!$D$3:$D$181,"Sicherheit-/Normprüfung"))</f>
        <v>540</v>
      </c>
      <c r="M175" s="11"/>
      <c r="N175" s="11" t="s">
        <v>815</v>
      </c>
      <c r="O175" s="11"/>
      <c r="P175" s="13" t="str">
        <f aca="false">IF(COUNTIFS(Prüfanforderungen!$P$3:$P$181,$W175,Prüfanforderungen!$D$3:$D$181,"FFU/Fitting",Prüfanforderungen!$K$3:$K$181,"&gt;=0")=0,"Preis auf Anfrage",SUMIFS(Prüfanforderungen!$K$3:$K$181,Prüfanforderungen!$P$3:$P$181,$W175,Prüfanforderungen!$D$3:$D$181,"FFU/Fitting"))</f>
        <v>Preis auf Anfrage</v>
      </c>
      <c r="Q175" s="11"/>
      <c r="R175" s="11"/>
      <c r="S175" s="13" t="str">
        <f aca="false">IF(COUNTIFS(Prüfanforderungen!$P$3:$P$181,$W175,Prüfanforderungen!$D$3:$D$181,"NGO / StiWa",Prüfanforderungen!$K$3:$K$181,"&gt;=0")=0,"Preis auf Anfrage",SUMIFS(Prüfanforderungen!$K$3:$K$181,Prüfanforderungen!$P$3:$P$181,$W175,Prüfanforderungen!$D$3:$D$181,"NGO / StiWa"))</f>
        <v>Preis auf Anfrage</v>
      </c>
      <c r="T175" s="11"/>
      <c r="U175" s="13" t="n">
        <v>240</v>
      </c>
      <c r="V175" s="13" t="n">
        <v>480</v>
      </c>
      <c r="W175" s="11" t="s">
        <v>765</v>
      </c>
    </row>
    <row r="176" customFormat="false" ht="46.25" hidden="false" customHeight="false" outlineLevel="0" collapsed="false">
      <c r="A176" s="11" t="s">
        <v>731</v>
      </c>
      <c r="B176" s="11" t="s">
        <v>950</v>
      </c>
      <c r="C176" s="12" t="s">
        <v>951</v>
      </c>
      <c r="D176" s="11" t="s">
        <v>952</v>
      </c>
      <c r="E176" s="11" t="str">
        <f aca="false">IF(COUNTIFS(Prüfanforderungen!$P$3:$P$181,$W176)=0,"keine Norm hinterlegt",IF($L176=0,"0 € hinterlegt",""))</f>
        <v>keine Norm hinterlegt</v>
      </c>
      <c r="F176" s="12" t="s">
        <v>42</v>
      </c>
      <c r="G176" s="12"/>
      <c r="H176" s="12"/>
      <c r="I176" s="12" t="s">
        <v>42</v>
      </c>
      <c r="J176" s="12" t="s">
        <v>42</v>
      </c>
      <c r="K176" s="11"/>
      <c r="L176" s="13" t="str">
        <f aca="false">IF(COUNTIFS(Prüfanforderungen!$P$3:$P$181,$W176,Prüfanforderungen!$D$3:$D$181,"Sicherheit-/Normprüfung",Prüfanforderungen!$K$3:$K$181,"&gt;=0")=0,"Preis auf Anfrage",SUMIFS(Prüfanforderungen!$K$3:$K$181,Prüfanforderungen!$P$3:$P$181,$W176,Prüfanforderungen!$D$3:$D$181,"Sicherheit-/Normprüfung"))</f>
        <v>Preis auf Anfrage</v>
      </c>
      <c r="M176" s="11"/>
      <c r="N176" s="11"/>
      <c r="O176" s="11"/>
      <c r="P176" s="13" t="str">
        <f aca="false">IF(COUNTIFS(Prüfanforderungen!$P$3:$P$181,$W176,Prüfanforderungen!$D$3:$D$181,"FFU/Fitting",Prüfanforderungen!$K$3:$K$181,"&gt;=0")=0,"Preis auf Anfrage",SUMIFS(Prüfanforderungen!$K$3:$K$181,Prüfanforderungen!$P$3:$P$181,$W176,Prüfanforderungen!$D$3:$D$181,"FFU/Fitting"))</f>
        <v>Preis auf Anfrage</v>
      </c>
      <c r="Q176" s="11"/>
      <c r="R176" s="11"/>
      <c r="S176" s="13" t="str">
        <f aca="false">IF(COUNTIFS(Prüfanforderungen!$P$3:$P$181,$W176,Prüfanforderungen!$D$3:$D$181,"NGO / StiWa",Prüfanforderungen!$K$3:$K$181,"&gt;=0")=0,"Preis auf Anfrage",SUMIFS(Prüfanforderungen!$K$3:$K$181,Prüfanforderungen!$P$3:$P$181,$W176,Prüfanforderungen!$D$3:$D$181,"NGO / StiWa"))</f>
        <v>Preis auf Anfrage</v>
      </c>
      <c r="T176" s="11"/>
      <c r="U176" s="13" t="n">
        <v>460</v>
      </c>
      <c r="V176" s="13" t="n">
        <v>920</v>
      </c>
      <c r="W176" s="11" t="s">
        <v>953</v>
      </c>
    </row>
    <row r="177" customFormat="false" ht="46.25" hidden="false" customHeight="false" outlineLevel="0" collapsed="false">
      <c r="A177" s="11" t="s">
        <v>731</v>
      </c>
      <c r="B177" s="11" t="s">
        <v>766</v>
      </c>
      <c r="C177" s="12" t="s">
        <v>954</v>
      </c>
      <c r="D177" s="11" t="s">
        <v>767</v>
      </c>
      <c r="E177" s="11" t="str">
        <f aca="false">IF(COUNTIFS(Prüfanforderungen!$P$3:$P$181,$W177)=0,"keine Norm hinterlegt",IF($L177=0,"0 € hinterlegt",""))</f>
        <v/>
      </c>
      <c r="F177" s="12" t="s">
        <v>42</v>
      </c>
      <c r="G177" s="12" t="n">
        <v>1</v>
      </c>
      <c r="H177" s="12"/>
      <c r="I177" s="12" t="s">
        <v>42</v>
      </c>
      <c r="J177" s="12" t="s">
        <v>42</v>
      </c>
      <c r="K177" s="11" t="s">
        <v>102</v>
      </c>
      <c r="L177" s="13" t="n">
        <f aca="false">IF(COUNTIFS(Prüfanforderungen!$P$3:$P$181,$W177,Prüfanforderungen!$D$3:$D$181,"Sicherheit-/Normprüfung",Prüfanforderungen!$K$3:$K$181,"&gt;=0")=0,"Preis auf Anfrage",SUMIFS(Prüfanforderungen!$K$3:$K$181,Prüfanforderungen!$P$3:$P$181,$W177,Prüfanforderungen!$D$3:$D$181,"Sicherheit-/Normprüfung"))</f>
        <v>1450</v>
      </c>
      <c r="M177" s="11"/>
      <c r="N177" s="11"/>
      <c r="O177" s="11"/>
      <c r="P177" s="13" t="str">
        <f aca="false">IF(COUNTIFS(Prüfanforderungen!$P$3:$P$181,$W177,Prüfanforderungen!$D$3:$D$181,"FFU/Fitting",Prüfanforderungen!$K$3:$K$181,"&gt;=0")=0,"Preis auf Anfrage",SUMIFS(Prüfanforderungen!$K$3:$K$181,Prüfanforderungen!$P$3:$P$181,$W177,Prüfanforderungen!$D$3:$D$181,"FFU/Fitting"))</f>
        <v>Preis auf Anfrage</v>
      </c>
      <c r="Q177" s="11"/>
      <c r="R177" s="11"/>
      <c r="S177" s="13" t="str">
        <f aca="false">IF(COUNTIFS(Prüfanforderungen!$P$3:$P$181,$W177,Prüfanforderungen!$D$3:$D$181,"NGO / StiWa",Prüfanforderungen!$K$3:$K$181,"&gt;=0")=0,"Preis auf Anfrage",SUMIFS(Prüfanforderungen!$K$3:$K$181,Prüfanforderungen!$P$3:$P$181,$W177,Prüfanforderungen!$D$3:$D$181,"NGO / StiWa"))</f>
        <v>Preis auf Anfrage</v>
      </c>
      <c r="T177" s="11"/>
      <c r="U177" s="13" t="n">
        <v>700</v>
      </c>
      <c r="V177" s="13" t="n">
        <v>1400</v>
      </c>
      <c r="W177" s="11" t="s">
        <v>768</v>
      </c>
    </row>
    <row r="178" customFormat="false" ht="46.25" hidden="false" customHeight="false" outlineLevel="0" collapsed="false">
      <c r="A178" s="11" t="s">
        <v>731</v>
      </c>
      <c r="B178" s="11" t="s">
        <v>766</v>
      </c>
      <c r="C178" s="12" t="s">
        <v>954</v>
      </c>
      <c r="D178" s="11" t="s">
        <v>769</v>
      </c>
      <c r="E178" s="11" t="str">
        <f aca="false">IF(COUNTIFS(Prüfanforderungen!$P$3:$P$181,$W178)=0,"keine Norm hinterlegt",IF($L178=0,"0 € hinterlegt",""))</f>
        <v/>
      </c>
      <c r="F178" s="12" t="s">
        <v>42</v>
      </c>
      <c r="G178" s="12" t="n">
        <v>2</v>
      </c>
      <c r="H178" s="12"/>
      <c r="I178" s="12" t="s">
        <v>42</v>
      </c>
      <c r="J178" s="12" t="s">
        <v>42</v>
      </c>
      <c r="K178" s="11" t="s">
        <v>104</v>
      </c>
      <c r="L178" s="13" t="n">
        <f aca="false">IF(COUNTIFS(Prüfanforderungen!$P$3:$P$181,$W178,Prüfanforderungen!$D$3:$D$181,"Sicherheit-/Normprüfung",Prüfanforderungen!$K$3:$K$181,"&gt;=0")=0,"Preis auf Anfrage",SUMIFS(Prüfanforderungen!$K$3:$K$181,Prüfanforderungen!$P$3:$P$181,$W178,Prüfanforderungen!$D$3:$D$181,"Sicherheit-/Normprüfung"))</f>
        <v>720</v>
      </c>
      <c r="M178" s="11"/>
      <c r="N178" s="11"/>
      <c r="O178" s="11"/>
      <c r="P178" s="13" t="str">
        <f aca="false">IF(COUNTIFS(Prüfanforderungen!$P$3:$P$181,$W178,Prüfanforderungen!$D$3:$D$181,"FFU/Fitting",Prüfanforderungen!$K$3:$K$181,"&gt;=0")=0,"Preis auf Anfrage",SUMIFS(Prüfanforderungen!$K$3:$K$181,Prüfanforderungen!$P$3:$P$181,$W178,Prüfanforderungen!$D$3:$D$181,"FFU/Fitting"))</f>
        <v>Preis auf Anfrage</v>
      </c>
      <c r="Q178" s="11"/>
      <c r="R178" s="11"/>
      <c r="S178" s="13" t="str">
        <f aca="false">IF(COUNTIFS(Prüfanforderungen!$P$3:$P$181,$W178,Prüfanforderungen!$D$3:$D$181,"NGO / StiWa",Prüfanforderungen!$K$3:$K$181,"&gt;=0")=0,"Preis auf Anfrage",SUMIFS(Prüfanforderungen!$K$3:$K$181,Prüfanforderungen!$P$3:$P$181,$W178,Prüfanforderungen!$D$3:$D$181,"NGO / StiWa"))</f>
        <v>Preis auf Anfrage</v>
      </c>
      <c r="T178" s="11"/>
      <c r="U178" s="13" t="n">
        <v>480</v>
      </c>
      <c r="V178" s="13" t="n">
        <v>960</v>
      </c>
      <c r="W178" s="11" t="s">
        <v>770</v>
      </c>
    </row>
    <row r="179" customFormat="false" ht="46.25" hidden="false" customHeight="false" outlineLevel="0" collapsed="false">
      <c r="A179" s="11" t="s">
        <v>731</v>
      </c>
      <c r="B179" s="11" t="s">
        <v>766</v>
      </c>
      <c r="C179" s="12" t="s">
        <v>954</v>
      </c>
      <c r="D179" s="11" t="s">
        <v>771</v>
      </c>
      <c r="E179" s="11" t="str">
        <f aca="false">IF(COUNTIFS(Prüfanforderungen!$P$3:$P$181,$W179)=0,"keine Norm hinterlegt",IF($L179=0,"0 € hinterlegt",""))</f>
        <v/>
      </c>
      <c r="F179" s="12" t="s">
        <v>42</v>
      </c>
      <c r="G179" s="12" t="n">
        <v>2</v>
      </c>
      <c r="H179" s="12"/>
      <c r="I179" s="12" t="s">
        <v>42</v>
      </c>
      <c r="J179" s="12" t="s">
        <v>42</v>
      </c>
      <c r="K179" s="11" t="s">
        <v>104</v>
      </c>
      <c r="L179" s="13" t="n">
        <f aca="false">IF(COUNTIFS(Prüfanforderungen!$P$3:$P$181,$W179,Prüfanforderungen!$D$3:$D$181,"Sicherheit-/Normprüfung",Prüfanforderungen!$K$3:$K$181,"&gt;=0")=0,"Preis auf Anfrage",SUMIFS(Prüfanforderungen!$K$3:$K$181,Prüfanforderungen!$P$3:$P$181,$W179,Prüfanforderungen!$D$3:$D$181,"Sicherheit-/Normprüfung"))</f>
        <v>540</v>
      </c>
      <c r="M179" s="11"/>
      <c r="N179" s="11"/>
      <c r="O179" s="11"/>
      <c r="P179" s="13" t="str">
        <f aca="false">IF(COUNTIFS(Prüfanforderungen!$P$3:$P$181,$W179,Prüfanforderungen!$D$3:$D$181,"FFU/Fitting",Prüfanforderungen!$K$3:$K$181,"&gt;=0")=0,"Preis auf Anfrage",SUMIFS(Prüfanforderungen!$K$3:$K$181,Prüfanforderungen!$P$3:$P$181,$W179,Prüfanforderungen!$D$3:$D$181,"FFU/Fitting"))</f>
        <v>Preis auf Anfrage</v>
      </c>
      <c r="Q179" s="11"/>
      <c r="R179" s="11"/>
      <c r="S179" s="13" t="str">
        <f aca="false">IF(COUNTIFS(Prüfanforderungen!$P$3:$P$181,$W179,Prüfanforderungen!$D$3:$D$181,"NGO / StiWa",Prüfanforderungen!$K$3:$K$181,"&gt;=0")=0,"Preis auf Anfrage",SUMIFS(Prüfanforderungen!$K$3:$K$181,Prüfanforderungen!$P$3:$P$181,$W179,Prüfanforderungen!$D$3:$D$181,"NGO / StiWa"))</f>
        <v>Preis auf Anfrage</v>
      </c>
      <c r="T179" s="11"/>
      <c r="U179" s="13" t="n">
        <v>480</v>
      </c>
      <c r="V179" s="13" t="n">
        <v>960</v>
      </c>
      <c r="W179" s="11" t="s">
        <v>772</v>
      </c>
    </row>
    <row r="180" customFormat="false" ht="46.25" hidden="false" customHeight="false" outlineLevel="0" collapsed="false">
      <c r="A180" s="11" t="s">
        <v>731</v>
      </c>
      <c r="B180" s="11" t="s">
        <v>766</v>
      </c>
      <c r="C180" s="12" t="s">
        <v>954</v>
      </c>
      <c r="D180" s="11" t="s">
        <v>773</v>
      </c>
      <c r="E180" s="11" t="str">
        <f aca="false">IF(COUNTIFS(Prüfanforderungen!$P$3:$P$181,$W180)=0,"keine Norm hinterlegt",IF($L180=0,"0 € hinterlegt",""))</f>
        <v>0 € hinterlegt</v>
      </c>
      <c r="F180" s="12" t="s">
        <v>42</v>
      </c>
      <c r="G180" s="12" t="n">
        <v>1</v>
      </c>
      <c r="H180" s="12"/>
      <c r="I180" s="12" t="s">
        <v>42</v>
      </c>
      <c r="J180" s="12" t="s">
        <v>42</v>
      </c>
      <c r="K180" s="11" t="s">
        <v>133</v>
      </c>
      <c r="L180" s="13" t="n">
        <f aca="false">IF(COUNTIFS(Prüfanforderungen!$P$3:$P$181,$W180,Prüfanforderungen!$D$3:$D$181,"Sicherheit-/Normprüfung",Prüfanforderungen!$K$3:$K$181,"&gt;=0")=0,"Preis auf Anfrage",SUMIFS(Prüfanforderungen!$K$3:$K$181,Prüfanforderungen!$P$3:$P$181,$W180,Prüfanforderungen!$D$3:$D$181,"Sicherheit-/Normprüfung"))</f>
        <v>0</v>
      </c>
      <c r="M180" s="11"/>
      <c r="N180" s="11"/>
      <c r="O180" s="11"/>
      <c r="P180" s="13" t="str">
        <f aca="false">IF(COUNTIFS(Prüfanforderungen!$P$3:$P$181,$W180,Prüfanforderungen!$D$3:$D$181,"FFU/Fitting",Prüfanforderungen!$K$3:$K$181,"&gt;=0")=0,"Preis auf Anfrage",SUMIFS(Prüfanforderungen!$K$3:$K$181,Prüfanforderungen!$P$3:$P$181,$W180,Prüfanforderungen!$D$3:$D$181,"FFU/Fitting"))</f>
        <v>Preis auf Anfrage</v>
      </c>
      <c r="Q180" s="11"/>
      <c r="R180" s="11"/>
      <c r="S180" s="13" t="str">
        <f aca="false">IF(COUNTIFS(Prüfanforderungen!$P$3:$P$181,$W180,Prüfanforderungen!$D$3:$D$181,"NGO / StiWa",Prüfanforderungen!$K$3:$K$181,"&gt;=0")=0,"Preis auf Anfrage",SUMIFS(Prüfanforderungen!$K$3:$K$181,Prüfanforderungen!$P$3:$P$181,$W180,Prüfanforderungen!$D$3:$D$181,"NGO / StiWa"))</f>
        <v>Preis auf Anfrage</v>
      </c>
      <c r="T180" s="11"/>
      <c r="U180" s="13" t="n">
        <v>700</v>
      </c>
      <c r="V180" s="13" t="n">
        <v>1400</v>
      </c>
      <c r="W180" s="11" t="s">
        <v>774</v>
      </c>
    </row>
    <row r="181" customFormat="false" ht="46.25" hidden="false" customHeight="false" outlineLevel="0" collapsed="false">
      <c r="A181" s="11" t="s">
        <v>731</v>
      </c>
      <c r="B181" s="11" t="s">
        <v>775</v>
      </c>
      <c r="C181" s="12" t="s">
        <v>955</v>
      </c>
      <c r="D181" s="11" t="s">
        <v>776</v>
      </c>
      <c r="E181" s="11" t="str">
        <f aca="false">IF(COUNTIFS(Prüfanforderungen!$P$3:$P$181,$W181)=0,"keine Norm hinterlegt",IF($L181=0,"0 € hinterlegt",""))</f>
        <v/>
      </c>
      <c r="F181" s="12" t="s">
        <v>139</v>
      </c>
      <c r="G181" s="12" t="n">
        <v>2</v>
      </c>
      <c r="H181" s="12"/>
      <c r="I181" s="12" t="s">
        <v>42</v>
      </c>
      <c r="J181" s="12" t="s">
        <v>42</v>
      </c>
      <c r="K181" s="11" t="s">
        <v>50</v>
      </c>
      <c r="L181" s="13" t="n">
        <f aca="false">IF(COUNTIFS(Prüfanforderungen!$P$3:$P$181,$W181,Prüfanforderungen!$D$3:$D$181,"Sicherheit-/Normprüfung",Prüfanforderungen!$K$3:$K$181,"&gt;=0")=0,"Preis auf Anfrage",SUMIFS(Prüfanforderungen!$K$3:$K$181,Prüfanforderungen!$P$3:$P$181,$W181,Prüfanforderungen!$D$3:$D$181,"Sicherheit-/Normprüfung"))</f>
        <v>540</v>
      </c>
      <c r="M181" s="11"/>
      <c r="N181" s="11" t="s">
        <v>815</v>
      </c>
      <c r="O181" s="11"/>
      <c r="P181" s="13" t="str">
        <f aca="false">IF(COUNTIFS(Prüfanforderungen!$P$3:$P$181,$W181,Prüfanforderungen!$D$3:$D$181,"FFU/Fitting",Prüfanforderungen!$K$3:$K$181,"&gt;=0")=0,"Preis auf Anfrage",SUMIFS(Prüfanforderungen!$K$3:$K$181,Prüfanforderungen!$P$3:$P$181,$W181,Prüfanforderungen!$D$3:$D$181,"FFU/Fitting"))</f>
        <v>Preis auf Anfrage</v>
      </c>
      <c r="Q181" s="11"/>
      <c r="R181" s="11"/>
      <c r="S181" s="13" t="str">
        <f aca="false">IF(COUNTIFS(Prüfanforderungen!$P$3:$P$181,$W181,Prüfanforderungen!$D$3:$D$181,"NGO / StiWa",Prüfanforderungen!$K$3:$K$181,"&gt;=0")=0,"Preis auf Anfrage",SUMIFS(Prüfanforderungen!$K$3:$K$181,Prüfanforderungen!$P$3:$P$181,$W181,Prüfanforderungen!$D$3:$D$181,"NGO / StiWa"))</f>
        <v>Preis auf Anfrage</v>
      </c>
      <c r="T181" s="11"/>
      <c r="U181" s="13" t="n">
        <v>180</v>
      </c>
      <c r="V181" s="13" t="n">
        <v>360</v>
      </c>
      <c r="W181" s="11" t="s">
        <v>777</v>
      </c>
    </row>
    <row r="182" customFormat="false" ht="35.05" hidden="false" customHeight="false" outlineLevel="0" collapsed="false">
      <c r="A182" s="11" t="s">
        <v>731</v>
      </c>
      <c r="B182" s="11" t="s">
        <v>775</v>
      </c>
      <c r="C182" s="12" t="s">
        <v>955</v>
      </c>
      <c r="D182" s="11" t="s">
        <v>956</v>
      </c>
      <c r="E182" s="11" t="str">
        <f aca="false">IF(COUNTIFS(Prüfanforderungen!$P$3:$P$181,$W182)=0,"keine Norm hinterlegt",IF($L182=0,"0 € hinterlegt",""))</f>
        <v>keine Norm hinterlegt</v>
      </c>
      <c r="F182" s="12" t="s">
        <v>42</v>
      </c>
      <c r="G182" s="12"/>
      <c r="H182" s="12"/>
      <c r="I182" s="12" t="s">
        <v>42</v>
      </c>
      <c r="J182" s="12" t="s">
        <v>42</v>
      </c>
      <c r="K182" s="11"/>
      <c r="L182" s="13" t="str">
        <f aca="false">IF(COUNTIFS(Prüfanforderungen!$P$3:$P$181,$W182,Prüfanforderungen!$D$3:$D$181,"Sicherheit-/Normprüfung",Prüfanforderungen!$K$3:$K$181,"&gt;=0")=0,"Preis auf Anfrage",SUMIFS(Prüfanforderungen!$K$3:$K$181,Prüfanforderungen!$P$3:$P$181,$W182,Prüfanforderungen!$D$3:$D$181,"Sicherheit-/Normprüfung"))</f>
        <v>Preis auf Anfrage</v>
      </c>
      <c r="M182" s="11"/>
      <c r="N182" s="11"/>
      <c r="O182" s="11"/>
      <c r="P182" s="13" t="str">
        <f aca="false">IF(COUNTIFS(Prüfanforderungen!$P$3:$P$181,$W182,Prüfanforderungen!$D$3:$D$181,"FFU/Fitting",Prüfanforderungen!$K$3:$K$181,"&gt;=0")=0,"Preis auf Anfrage",SUMIFS(Prüfanforderungen!$K$3:$K$181,Prüfanforderungen!$P$3:$P$181,$W182,Prüfanforderungen!$D$3:$D$181,"FFU/Fitting"))</f>
        <v>Preis auf Anfrage</v>
      </c>
      <c r="Q182" s="11"/>
      <c r="R182" s="11"/>
      <c r="S182" s="13" t="str">
        <f aca="false">IF(COUNTIFS(Prüfanforderungen!$P$3:$P$181,$W182,Prüfanforderungen!$D$3:$D$181,"NGO / StiWa",Prüfanforderungen!$K$3:$K$181,"&gt;=0")=0,"Preis auf Anfrage",SUMIFS(Prüfanforderungen!$K$3:$K$181,Prüfanforderungen!$P$3:$P$181,$W182,Prüfanforderungen!$D$3:$D$181,"NGO / StiWa"))</f>
        <v>Preis auf Anfrage</v>
      </c>
      <c r="T182" s="11"/>
      <c r="U182" s="13" t="n">
        <v>0</v>
      </c>
      <c r="V182" s="13"/>
      <c r="W182" s="11" t="s">
        <v>957</v>
      </c>
    </row>
    <row r="183" customFormat="false" ht="46.25" hidden="false" customHeight="false" outlineLevel="0" collapsed="false">
      <c r="A183" s="11" t="s">
        <v>731</v>
      </c>
      <c r="B183" s="11" t="s">
        <v>778</v>
      </c>
      <c r="C183" s="12" t="s">
        <v>958</v>
      </c>
      <c r="D183" s="11" t="s">
        <v>779</v>
      </c>
      <c r="E183" s="11" t="str">
        <f aca="false">IF(COUNTIFS(Prüfanforderungen!$P$3:$P$181,$W183)=0,"keine Norm hinterlegt",IF($L183=0,"0 € hinterlegt",""))</f>
        <v>0 € hinterlegt</v>
      </c>
      <c r="F183" s="12" t="s">
        <v>139</v>
      </c>
      <c r="G183" s="12"/>
      <c r="H183" s="12"/>
      <c r="I183" s="12" t="s">
        <v>42</v>
      </c>
      <c r="J183" s="12" t="s">
        <v>42</v>
      </c>
      <c r="K183" s="11" t="s">
        <v>50</v>
      </c>
      <c r="L183" s="13" t="n">
        <f aca="false">IF(COUNTIFS(Prüfanforderungen!$P$3:$P$181,$W183,Prüfanforderungen!$D$3:$D$181,"Sicherheit-/Normprüfung",Prüfanforderungen!$K$3:$K$181,"&gt;=0")=0,"Preis auf Anfrage",SUMIFS(Prüfanforderungen!$K$3:$K$181,Prüfanforderungen!$P$3:$P$181,$W183,Prüfanforderungen!$D$3:$D$181,"Sicherheit-/Normprüfung"))</f>
        <v>0</v>
      </c>
      <c r="M183" s="11"/>
      <c r="N183" s="11" t="s">
        <v>815</v>
      </c>
      <c r="O183" s="11"/>
      <c r="P183" s="13" t="str">
        <f aca="false">IF(COUNTIFS(Prüfanforderungen!$P$3:$P$181,$W183,Prüfanforderungen!$D$3:$D$181,"FFU/Fitting",Prüfanforderungen!$K$3:$K$181,"&gt;=0")=0,"Preis auf Anfrage",SUMIFS(Prüfanforderungen!$K$3:$K$181,Prüfanforderungen!$P$3:$P$181,$W183,Prüfanforderungen!$D$3:$D$181,"FFU/Fitting"))</f>
        <v>Preis auf Anfrage</v>
      </c>
      <c r="Q183" s="11"/>
      <c r="R183" s="11"/>
      <c r="S183" s="13" t="str">
        <f aca="false">IF(COUNTIFS(Prüfanforderungen!$P$3:$P$181,$W183,Prüfanforderungen!$D$3:$D$181,"NGO / StiWa",Prüfanforderungen!$K$3:$K$181,"&gt;=0")=0,"Preis auf Anfrage",SUMIFS(Prüfanforderungen!$K$3:$K$181,Prüfanforderungen!$P$3:$P$181,$W183,Prüfanforderungen!$D$3:$D$181,"NGO / StiWa"))</f>
        <v>Preis auf Anfrage</v>
      </c>
      <c r="T183" s="11"/>
      <c r="U183" s="13"/>
      <c r="V183" s="13"/>
      <c r="W183" s="11" t="s">
        <v>780</v>
      </c>
    </row>
    <row r="184" customFormat="false" ht="46.25" hidden="false" customHeight="false" outlineLevel="0" collapsed="false">
      <c r="A184" s="11" t="s">
        <v>731</v>
      </c>
      <c r="B184" s="11" t="s">
        <v>778</v>
      </c>
      <c r="C184" s="12" t="s">
        <v>958</v>
      </c>
      <c r="D184" s="11" t="s">
        <v>781</v>
      </c>
      <c r="E184" s="11" t="str">
        <f aca="false">IF(COUNTIFS(Prüfanforderungen!$P$3:$P$181,$W184)=0,"keine Norm hinterlegt",IF($L184=0,"0 € hinterlegt",""))</f>
        <v/>
      </c>
      <c r="F184" s="12" t="s">
        <v>139</v>
      </c>
      <c r="G184" s="12" t="n">
        <v>2</v>
      </c>
      <c r="H184" s="12"/>
      <c r="I184" s="12" t="s">
        <v>42</v>
      </c>
      <c r="J184" s="12" t="s">
        <v>42</v>
      </c>
      <c r="K184" s="11" t="s">
        <v>50</v>
      </c>
      <c r="L184" s="13" t="n">
        <f aca="false">IF(COUNTIFS(Prüfanforderungen!$P$3:$P$181,$W184,Prüfanforderungen!$D$3:$D$181,"Sicherheit-/Normprüfung",Prüfanforderungen!$K$3:$K$181,"&gt;=0")=0,"Preis auf Anfrage",SUMIFS(Prüfanforderungen!$K$3:$K$181,Prüfanforderungen!$P$3:$P$181,$W184,Prüfanforderungen!$D$3:$D$181,"Sicherheit-/Normprüfung"))</f>
        <v>540</v>
      </c>
      <c r="M184" s="11"/>
      <c r="N184" s="11" t="s">
        <v>815</v>
      </c>
      <c r="O184" s="11"/>
      <c r="P184" s="13" t="str">
        <f aca="false">IF(COUNTIFS(Prüfanforderungen!$P$3:$P$181,$W184,Prüfanforderungen!$D$3:$D$181,"FFU/Fitting",Prüfanforderungen!$K$3:$K$181,"&gt;=0")=0,"Preis auf Anfrage",SUMIFS(Prüfanforderungen!$K$3:$K$181,Prüfanforderungen!$P$3:$P$181,$W184,Prüfanforderungen!$D$3:$D$181,"FFU/Fitting"))</f>
        <v>Preis auf Anfrage</v>
      </c>
      <c r="Q184" s="11"/>
      <c r="R184" s="11"/>
      <c r="S184" s="13" t="str">
        <f aca="false">IF(COUNTIFS(Prüfanforderungen!$P$3:$P$181,$W184,Prüfanforderungen!$D$3:$D$181,"NGO / StiWa",Prüfanforderungen!$K$3:$K$181,"&gt;=0")=0,"Preis auf Anfrage",SUMIFS(Prüfanforderungen!$K$3:$K$181,Prüfanforderungen!$P$3:$P$181,$W184,Prüfanforderungen!$D$3:$D$181,"NGO / StiWa"))</f>
        <v>Preis auf Anfrage</v>
      </c>
      <c r="T184" s="11"/>
      <c r="U184" s="13" t="n">
        <v>240</v>
      </c>
      <c r="V184" s="13" t="n">
        <v>480</v>
      </c>
      <c r="W184" s="11" t="s">
        <v>782</v>
      </c>
    </row>
    <row r="185" customFormat="false" ht="46.25" hidden="false" customHeight="false" outlineLevel="0" collapsed="false">
      <c r="A185" s="11" t="s">
        <v>731</v>
      </c>
      <c r="B185" s="11" t="s">
        <v>778</v>
      </c>
      <c r="C185" s="12" t="s">
        <v>958</v>
      </c>
      <c r="D185" s="11" t="s">
        <v>783</v>
      </c>
      <c r="E185" s="11" t="str">
        <f aca="false">IF(COUNTIFS(Prüfanforderungen!$P$3:$P$181,$W185)=0,"keine Norm hinterlegt",IF($L185=0,"0 € hinterlegt",""))</f>
        <v/>
      </c>
      <c r="F185" s="12" t="s">
        <v>139</v>
      </c>
      <c r="G185" s="12" t="n">
        <v>2</v>
      </c>
      <c r="H185" s="12"/>
      <c r="I185" s="12" t="s">
        <v>42</v>
      </c>
      <c r="J185" s="12" t="s">
        <v>42</v>
      </c>
      <c r="K185" s="11" t="s">
        <v>50</v>
      </c>
      <c r="L185" s="13" t="n">
        <f aca="false">IF(COUNTIFS(Prüfanforderungen!$P$3:$P$181,$W185,Prüfanforderungen!$D$3:$D$181,"Sicherheit-/Normprüfung",Prüfanforderungen!$K$3:$K$181,"&gt;=0")=0,"Preis auf Anfrage",SUMIFS(Prüfanforderungen!$K$3:$K$181,Prüfanforderungen!$P$3:$P$181,$W185,Prüfanforderungen!$D$3:$D$181,"Sicherheit-/Normprüfung"))</f>
        <v>540</v>
      </c>
      <c r="M185" s="11"/>
      <c r="N185" s="11" t="s">
        <v>815</v>
      </c>
      <c r="O185" s="11"/>
      <c r="P185" s="13" t="str">
        <f aca="false">IF(COUNTIFS(Prüfanforderungen!$P$3:$P$181,$W185,Prüfanforderungen!$D$3:$D$181,"FFU/Fitting",Prüfanforderungen!$K$3:$K$181,"&gt;=0")=0,"Preis auf Anfrage",SUMIFS(Prüfanforderungen!$K$3:$K$181,Prüfanforderungen!$P$3:$P$181,$W185,Prüfanforderungen!$D$3:$D$181,"FFU/Fitting"))</f>
        <v>Preis auf Anfrage</v>
      </c>
      <c r="Q185" s="11"/>
      <c r="R185" s="11"/>
      <c r="S185" s="13" t="str">
        <f aca="false">IF(COUNTIFS(Prüfanforderungen!$P$3:$P$181,$W185,Prüfanforderungen!$D$3:$D$181,"NGO / StiWa",Prüfanforderungen!$K$3:$K$181,"&gt;=0")=0,"Preis auf Anfrage",SUMIFS(Prüfanforderungen!$K$3:$K$181,Prüfanforderungen!$P$3:$P$181,$W185,Prüfanforderungen!$D$3:$D$181,"NGO / StiWa"))</f>
        <v>Preis auf Anfrage</v>
      </c>
      <c r="T185" s="11"/>
      <c r="U185" s="13" t="n">
        <v>240</v>
      </c>
      <c r="V185" s="13" t="n">
        <v>480</v>
      </c>
      <c r="W185" s="11" t="s">
        <v>784</v>
      </c>
    </row>
    <row r="186" customFormat="false" ht="46.25" hidden="false" customHeight="false" outlineLevel="0" collapsed="false">
      <c r="A186" s="11" t="s">
        <v>731</v>
      </c>
      <c r="B186" s="11" t="s">
        <v>785</v>
      </c>
      <c r="C186" s="12" t="s">
        <v>959</v>
      </c>
      <c r="D186" s="11" t="s">
        <v>786</v>
      </c>
      <c r="E186" s="11" t="str">
        <f aca="false">IF(COUNTIFS(Prüfanforderungen!$P$3:$P$181,$W186)=0,"keine Norm hinterlegt",IF($L186=0,"0 € hinterlegt",""))</f>
        <v>0 € hinterlegt</v>
      </c>
      <c r="F186" s="12" t="s">
        <v>139</v>
      </c>
      <c r="G186" s="12" t="n">
        <v>2</v>
      </c>
      <c r="H186" s="12"/>
      <c r="I186" s="12" t="s">
        <v>42</v>
      </c>
      <c r="J186" s="12" t="s">
        <v>42</v>
      </c>
      <c r="K186" s="11" t="s">
        <v>50</v>
      </c>
      <c r="L186" s="13" t="n">
        <f aca="false">IF(COUNTIFS(Prüfanforderungen!$P$3:$P$181,$W186,Prüfanforderungen!$D$3:$D$181,"Sicherheit-/Normprüfung",Prüfanforderungen!$K$3:$K$181,"&gt;=0")=0,"Preis auf Anfrage",SUMIFS(Prüfanforderungen!$K$3:$K$181,Prüfanforderungen!$P$3:$P$181,$W186,Prüfanforderungen!$D$3:$D$181,"Sicherheit-/Normprüfung"))</f>
        <v>0</v>
      </c>
      <c r="M186" s="11"/>
      <c r="N186" s="11" t="s">
        <v>815</v>
      </c>
      <c r="O186" s="11"/>
      <c r="P186" s="13" t="str">
        <f aca="false">IF(COUNTIFS(Prüfanforderungen!$P$3:$P$181,$W186,Prüfanforderungen!$D$3:$D$181,"FFU/Fitting",Prüfanforderungen!$K$3:$K$181,"&gt;=0")=0,"Preis auf Anfrage",SUMIFS(Prüfanforderungen!$K$3:$K$181,Prüfanforderungen!$P$3:$P$181,$W186,Prüfanforderungen!$D$3:$D$181,"FFU/Fitting"))</f>
        <v>Preis auf Anfrage</v>
      </c>
      <c r="Q186" s="11"/>
      <c r="R186" s="11"/>
      <c r="S186" s="13" t="str">
        <f aca="false">IF(COUNTIFS(Prüfanforderungen!$P$3:$P$181,$W186,Prüfanforderungen!$D$3:$D$181,"NGO / StiWa",Prüfanforderungen!$K$3:$K$181,"&gt;=0")=0,"Preis auf Anfrage",SUMIFS(Prüfanforderungen!$K$3:$K$181,Prüfanforderungen!$P$3:$P$181,$W186,Prüfanforderungen!$D$3:$D$181,"NGO / StiWa"))</f>
        <v>Preis auf Anfrage</v>
      </c>
      <c r="T186" s="11"/>
      <c r="U186" s="13"/>
      <c r="V186" s="13" t="n">
        <v>420</v>
      </c>
      <c r="W186" s="11" t="s">
        <v>787</v>
      </c>
    </row>
    <row r="187" customFormat="false" ht="35.05" hidden="false" customHeight="false" outlineLevel="0" collapsed="false">
      <c r="A187" s="11" t="s">
        <v>731</v>
      </c>
      <c r="B187" s="11" t="s">
        <v>785</v>
      </c>
      <c r="C187" s="12" t="s">
        <v>959</v>
      </c>
      <c r="D187" s="11" t="s">
        <v>788</v>
      </c>
      <c r="E187" s="11" t="str">
        <f aca="false">IF(COUNTIFS(Prüfanforderungen!$P$3:$P$181,$W187)=0,"keine Norm hinterlegt",IF($L187=0,"0 € hinterlegt",""))</f>
        <v/>
      </c>
      <c r="F187" s="12" t="s">
        <v>139</v>
      </c>
      <c r="G187" s="12" t="n">
        <v>2</v>
      </c>
      <c r="H187" s="12"/>
      <c r="I187" s="12" t="s">
        <v>42</v>
      </c>
      <c r="J187" s="12" t="s">
        <v>42</v>
      </c>
      <c r="K187" s="11" t="s">
        <v>50</v>
      </c>
      <c r="L187" s="13" t="n">
        <f aca="false">IF(COUNTIFS(Prüfanforderungen!$P$3:$P$181,$W187,Prüfanforderungen!$D$3:$D$181,"Sicherheit-/Normprüfung",Prüfanforderungen!$K$3:$K$181,"&gt;=0")=0,"Preis auf Anfrage",SUMIFS(Prüfanforderungen!$K$3:$K$181,Prüfanforderungen!$P$3:$P$181,$W187,Prüfanforderungen!$D$3:$D$181,"Sicherheit-/Normprüfung"))</f>
        <v>540</v>
      </c>
      <c r="M187" s="11"/>
      <c r="N187" s="11" t="s">
        <v>815</v>
      </c>
      <c r="O187" s="11"/>
      <c r="P187" s="13" t="str">
        <f aca="false">IF(COUNTIFS(Prüfanforderungen!$P$3:$P$181,$W187,Prüfanforderungen!$D$3:$D$181,"FFU/Fitting",Prüfanforderungen!$K$3:$K$181,"&gt;=0")=0,"Preis auf Anfrage",SUMIFS(Prüfanforderungen!$K$3:$K$181,Prüfanforderungen!$P$3:$P$181,$W187,Prüfanforderungen!$D$3:$D$181,"FFU/Fitting"))</f>
        <v>Preis auf Anfrage</v>
      </c>
      <c r="Q187" s="11"/>
      <c r="R187" s="11"/>
      <c r="S187" s="13" t="str">
        <f aca="false">IF(COUNTIFS(Prüfanforderungen!$P$3:$P$181,$W187,Prüfanforderungen!$D$3:$D$181,"NGO / StiWa",Prüfanforderungen!$K$3:$K$181,"&gt;=0")=0,"Preis auf Anfrage",SUMIFS(Prüfanforderungen!$K$3:$K$181,Prüfanforderungen!$P$3:$P$181,$W187,Prüfanforderungen!$D$3:$D$181,"NGO / StiWa"))</f>
        <v>Preis auf Anfrage</v>
      </c>
      <c r="T187" s="11"/>
      <c r="U187" s="13" t="n">
        <v>240</v>
      </c>
      <c r="V187" s="13" t="n">
        <v>480</v>
      </c>
      <c r="W187" s="11" t="s">
        <v>789</v>
      </c>
    </row>
  </sheetData>
  <autoFilter ref="A2:W187"/>
  <mergeCells count="1">
    <mergeCell ref="A1:W1"/>
  </mergeCells>
  <conditionalFormatting sqref="E3:E187">
    <cfRule type="cellIs" priority="2" operator="equal" aboveAverage="0" equalAverage="0" bottom="0" percent="0" rank="0" text="" dxfId="6">
      <formula>"keine Norm hinterlegt"</formula>
    </cfRule>
    <cfRule type="cellIs" priority="3" operator="equal" aboveAverage="0" equalAverage="0" bottom="0" percent="0" rank="0" text="" dxfId="6">
      <formula>"0 € hinterlegt"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3" min="2" style="0" width="22"/>
    <col collapsed="false" customWidth="true" hidden="false" outlineLevel="0" max="4" min="4" style="0" width="34"/>
    <col collapsed="false" customWidth="true" hidden="false" outlineLevel="0" max="5" min="5" style="0" width="55"/>
    <col collapsed="false" customWidth="true" hidden="false" outlineLevel="0" max="7" min="6" style="0" width="28"/>
    <col collapsed="false" customWidth="true" hidden="false" outlineLevel="0" max="8" min="8" style="0" width="34"/>
    <col collapsed="false" customWidth="true" hidden="false" outlineLevel="0" max="9" min="9" style="0" width="13"/>
    <col collapsed="false" customWidth="true" hidden="false" outlineLevel="0" max="10" min="10" style="0" width="15"/>
    <col collapsed="false" customWidth="true" hidden="false" outlineLevel="0" max="11" min="11" style="0" width="16"/>
    <col collapsed="false" customWidth="true" hidden="false" outlineLevel="0" max="12" min="12" style="0" width="12"/>
    <col collapsed="false" customWidth="true" hidden="false" outlineLevel="0" max="13" min="13" style="0" width="30"/>
    <col collapsed="false" customWidth="true" hidden="false" outlineLevel="0" max="14" min="14" style="0" width="34"/>
    <col collapsed="false" customWidth="true" hidden="false" outlineLevel="0" max="15" min="15" style="0" width="30"/>
  </cols>
  <sheetData>
    <row r="1" customFormat="false" ht="15" hidden="false" customHeight="false" outlineLevel="0" collapsed="false">
      <c r="A1" s="9" t="s">
        <v>960</v>
      </c>
      <c r="B1" s="9"/>
      <c r="C1" s="9"/>
      <c r="D1" s="9"/>
      <c r="E1" s="9"/>
      <c r="F1" s="9"/>
      <c r="G1" s="9"/>
      <c r="H1" s="9"/>
      <c r="I1" s="9"/>
      <c r="J1" s="9"/>
      <c r="K1" s="9"/>
      <c r="L1" s="9"/>
      <c r="M1" s="9"/>
      <c r="N1" s="9"/>
      <c r="O1" s="9"/>
    </row>
    <row r="2" customFormat="false" ht="30" hidden="false" customHeight="true" outlineLevel="0" collapsed="false">
      <c r="A2" s="10" t="s">
        <v>28</v>
      </c>
      <c r="B2" s="10" t="s">
        <v>961</v>
      </c>
      <c r="C2" s="10" t="s">
        <v>397</v>
      </c>
      <c r="D2" s="10" t="s">
        <v>962</v>
      </c>
      <c r="E2" s="10" t="s">
        <v>963</v>
      </c>
      <c r="F2" s="10" t="s">
        <v>964</v>
      </c>
      <c r="G2" s="10" t="s">
        <v>965</v>
      </c>
      <c r="H2" s="10" t="s">
        <v>966</v>
      </c>
      <c r="I2" s="10" t="s">
        <v>967</v>
      </c>
      <c r="J2" s="10" t="s">
        <v>968</v>
      </c>
      <c r="K2" s="10" t="s">
        <v>969</v>
      </c>
      <c r="L2" s="10" t="s">
        <v>970</v>
      </c>
      <c r="M2" s="10" t="s">
        <v>971</v>
      </c>
      <c r="N2" s="10" t="s">
        <v>34</v>
      </c>
      <c r="O2" s="10" t="s">
        <v>972</v>
      </c>
    </row>
    <row r="3" customFormat="false" ht="23.85" hidden="false" customHeight="false" outlineLevel="0" collapsed="false">
      <c r="A3" s="11"/>
      <c r="B3" s="11" t="s">
        <v>973</v>
      </c>
      <c r="C3" s="11" t="s">
        <v>974</v>
      </c>
      <c r="D3" s="11" t="s">
        <v>975</v>
      </c>
      <c r="E3" s="11" t="s">
        <v>975</v>
      </c>
      <c r="F3" s="11" t="s">
        <v>976</v>
      </c>
      <c r="G3" s="11" t="s">
        <v>977</v>
      </c>
      <c r="H3" s="11" t="s">
        <v>978</v>
      </c>
      <c r="I3" s="13"/>
      <c r="J3" s="13"/>
      <c r="K3" s="11" t="s">
        <v>979</v>
      </c>
      <c r="L3" s="12" t="s">
        <v>42</v>
      </c>
      <c r="M3" s="11"/>
      <c r="N3" s="11"/>
      <c r="O3" s="11"/>
    </row>
    <row r="4" customFormat="false" ht="35.05" hidden="false" customHeight="false" outlineLevel="0" collapsed="false">
      <c r="A4" s="11"/>
      <c r="B4" s="11" t="s">
        <v>973</v>
      </c>
      <c r="C4" s="11" t="s">
        <v>974</v>
      </c>
      <c r="D4" s="11" t="s">
        <v>980</v>
      </c>
      <c r="E4" s="11" t="s">
        <v>981</v>
      </c>
      <c r="F4" s="11" t="s">
        <v>982</v>
      </c>
      <c r="G4" s="11" t="s">
        <v>977</v>
      </c>
      <c r="H4" s="11" t="s">
        <v>983</v>
      </c>
      <c r="I4" s="13"/>
      <c r="J4" s="13"/>
      <c r="K4" s="11" t="s">
        <v>979</v>
      </c>
      <c r="L4" s="12" t="s">
        <v>42</v>
      </c>
      <c r="M4" s="11"/>
      <c r="N4" s="11"/>
      <c r="O4" s="11"/>
    </row>
    <row r="5" customFormat="false" ht="91" hidden="false" customHeight="false" outlineLevel="0" collapsed="false">
      <c r="A5" s="11"/>
      <c r="B5" s="11" t="s">
        <v>973</v>
      </c>
      <c r="C5" s="11" t="s">
        <v>974</v>
      </c>
      <c r="D5" s="11" t="s">
        <v>984</v>
      </c>
      <c r="E5" s="11" t="s">
        <v>985</v>
      </c>
      <c r="F5" s="11" t="s">
        <v>986</v>
      </c>
      <c r="G5" s="11" t="s">
        <v>977</v>
      </c>
      <c r="H5" s="11" t="s">
        <v>987</v>
      </c>
      <c r="I5" s="13"/>
      <c r="J5" s="13"/>
      <c r="K5" s="11" t="s">
        <v>979</v>
      </c>
      <c r="L5" s="12" t="s">
        <v>42</v>
      </c>
      <c r="M5" s="11"/>
      <c r="N5" s="11"/>
      <c r="O5" s="11"/>
    </row>
    <row r="6" customFormat="false" ht="35.05" hidden="false" customHeight="false" outlineLevel="0" collapsed="false">
      <c r="A6" s="11"/>
      <c r="B6" s="11" t="s">
        <v>973</v>
      </c>
      <c r="C6" s="11" t="s">
        <v>974</v>
      </c>
      <c r="D6" s="11" t="s">
        <v>988</v>
      </c>
      <c r="E6" s="11" t="s">
        <v>989</v>
      </c>
      <c r="F6" s="11" t="s">
        <v>990</v>
      </c>
      <c r="G6" s="11" t="s">
        <v>977</v>
      </c>
      <c r="H6" s="11" t="s">
        <v>987</v>
      </c>
      <c r="I6" s="13"/>
      <c r="J6" s="13"/>
      <c r="K6" s="11" t="s">
        <v>979</v>
      </c>
      <c r="L6" s="12" t="s">
        <v>42</v>
      </c>
      <c r="M6" s="11"/>
      <c r="N6" s="11"/>
      <c r="O6" s="11"/>
    </row>
    <row r="7" customFormat="false" ht="23.85" hidden="false" customHeight="false" outlineLevel="0" collapsed="false">
      <c r="A7" s="11"/>
      <c r="B7" s="11" t="s">
        <v>973</v>
      </c>
      <c r="C7" s="11" t="s">
        <v>974</v>
      </c>
      <c r="D7" s="11" t="s">
        <v>991</v>
      </c>
      <c r="E7" s="11" t="s">
        <v>992</v>
      </c>
      <c r="F7" s="11" t="s">
        <v>993</v>
      </c>
      <c r="G7" s="11" t="s">
        <v>977</v>
      </c>
      <c r="H7" s="11" t="s">
        <v>983</v>
      </c>
      <c r="I7" s="13"/>
      <c r="J7" s="13"/>
      <c r="K7" s="11" t="s">
        <v>979</v>
      </c>
      <c r="L7" s="12" t="s">
        <v>42</v>
      </c>
      <c r="M7" s="11"/>
      <c r="N7" s="11"/>
      <c r="O7" s="11"/>
    </row>
    <row r="8" customFormat="false" ht="23.85" hidden="false" customHeight="false" outlineLevel="0" collapsed="false">
      <c r="A8" s="11"/>
      <c r="B8" s="11" t="s">
        <v>973</v>
      </c>
      <c r="C8" s="11" t="s">
        <v>974</v>
      </c>
      <c r="D8" s="11" t="s">
        <v>994</v>
      </c>
      <c r="E8" s="11" t="s">
        <v>995</v>
      </c>
      <c r="F8" s="11" t="s">
        <v>996</v>
      </c>
      <c r="G8" s="11" t="s">
        <v>977</v>
      </c>
      <c r="H8" s="11" t="s">
        <v>987</v>
      </c>
      <c r="I8" s="13"/>
      <c r="J8" s="13"/>
      <c r="K8" s="11" t="s">
        <v>979</v>
      </c>
      <c r="L8" s="12" t="s">
        <v>42</v>
      </c>
      <c r="M8" s="11"/>
      <c r="N8" s="11"/>
      <c r="O8" s="11"/>
    </row>
    <row r="9" customFormat="false" ht="23.85" hidden="false" customHeight="false" outlineLevel="0" collapsed="false">
      <c r="A9" s="11"/>
      <c r="B9" s="11" t="s">
        <v>973</v>
      </c>
      <c r="C9" s="11" t="s">
        <v>974</v>
      </c>
      <c r="D9" s="11" t="s">
        <v>997</v>
      </c>
      <c r="E9" s="11" t="s">
        <v>998</v>
      </c>
      <c r="F9" s="11" t="s">
        <v>999</v>
      </c>
      <c r="G9" s="11" t="s">
        <v>977</v>
      </c>
      <c r="H9" s="11" t="s">
        <v>987</v>
      </c>
      <c r="I9" s="13"/>
      <c r="J9" s="13"/>
      <c r="K9" s="11" t="s">
        <v>979</v>
      </c>
      <c r="L9" s="12" t="s">
        <v>42</v>
      </c>
      <c r="M9" s="11"/>
      <c r="N9" s="11"/>
      <c r="O9" s="11"/>
    </row>
    <row r="10" customFormat="false" ht="225.35" hidden="false" customHeight="false" outlineLevel="0" collapsed="false">
      <c r="A10" s="11"/>
      <c r="B10" s="11" t="s">
        <v>973</v>
      </c>
      <c r="C10" s="11" t="s">
        <v>974</v>
      </c>
      <c r="D10" s="11" t="s">
        <v>1000</v>
      </c>
      <c r="E10" s="11" t="s">
        <v>1001</v>
      </c>
      <c r="F10" s="11" t="s">
        <v>1002</v>
      </c>
      <c r="G10" s="11" t="s">
        <v>977</v>
      </c>
      <c r="H10" s="11" t="s">
        <v>987</v>
      </c>
      <c r="I10" s="13"/>
      <c r="J10" s="13"/>
      <c r="K10" s="11" t="s">
        <v>979</v>
      </c>
      <c r="L10" s="12" t="s">
        <v>42</v>
      </c>
      <c r="M10" s="11"/>
      <c r="N10" s="11"/>
      <c r="O10" s="11"/>
    </row>
    <row r="11" customFormat="false" ht="102.2" hidden="false" customHeight="false" outlineLevel="0" collapsed="false">
      <c r="A11" s="11"/>
      <c r="B11" s="11" t="s">
        <v>973</v>
      </c>
      <c r="C11" s="11" t="s">
        <v>974</v>
      </c>
      <c r="D11" s="11" t="s">
        <v>1003</v>
      </c>
      <c r="E11" s="11" t="s">
        <v>1004</v>
      </c>
      <c r="F11" s="11" t="s">
        <v>1005</v>
      </c>
      <c r="G11" s="11" t="s">
        <v>977</v>
      </c>
      <c r="H11" s="11" t="s">
        <v>987</v>
      </c>
      <c r="I11" s="13"/>
      <c r="J11" s="13"/>
      <c r="K11" s="11" t="s">
        <v>979</v>
      </c>
      <c r="L11" s="12" t="s">
        <v>42</v>
      </c>
      <c r="M11" s="11"/>
      <c r="N11" s="11"/>
      <c r="O11" s="11"/>
    </row>
    <row r="12" customFormat="false" ht="23.85" hidden="false" customHeight="false" outlineLevel="0" collapsed="false">
      <c r="A12" s="11"/>
      <c r="B12" s="11" t="s">
        <v>973</v>
      </c>
      <c r="C12" s="11" t="s">
        <v>974</v>
      </c>
      <c r="D12" s="11" t="s">
        <v>1006</v>
      </c>
      <c r="E12" s="11" t="s">
        <v>1007</v>
      </c>
      <c r="F12" s="11" t="s">
        <v>1008</v>
      </c>
      <c r="G12" s="11" t="s">
        <v>977</v>
      </c>
      <c r="H12" s="11" t="s">
        <v>987</v>
      </c>
      <c r="I12" s="13"/>
      <c r="J12" s="13"/>
      <c r="K12" s="11" t="s">
        <v>979</v>
      </c>
      <c r="L12" s="12" t="s">
        <v>42</v>
      </c>
      <c r="M12" s="11"/>
      <c r="N12" s="11"/>
      <c r="O12" s="11"/>
    </row>
    <row r="13" customFormat="false" ht="147" hidden="false" customHeight="false" outlineLevel="0" collapsed="false">
      <c r="A13" s="11"/>
      <c r="B13" s="11" t="s">
        <v>973</v>
      </c>
      <c r="C13" s="11" t="s">
        <v>1009</v>
      </c>
      <c r="D13" s="11" t="s">
        <v>1010</v>
      </c>
      <c r="E13" s="11" t="s">
        <v>1011</v>
      </c>
      <c r="F13" s="11" t="s">
        <v>1012</v>
      </c>
      <c r="G13" s="11" t="s">
        <v>977</v>
      </c>
      <c r="H13" s="11" t="s">
        <v>987</v>
      </c>
      <c r="I13" s="13"/>
      <c r="J13" s="13"/>
      <c r="K13" s="11" t="s">
        <v>979</v>
      </c>
      <c r="L13" s="12" t="s">
        <v>42</v>
      </c>
      <c r="M13" s="11"/>
      <c r="N13" s="11"/>
      <c r="O13" s="11"/>
    </row>
    <row r="14" customFormat="false" ht="15" hidden="false" customHeight="false" outlineLevel="0" collapsed="false">
      <c r="A14" s="11"/>
      <c r="B14" s="11" t="s">
        <v>1013</v>
      </c>
      <c r="C14" s="11" t="s">
        <v>974</v>
      </c>
      <c r="D14" s="11" t="s">
        <v>1014</v>
      </c>
      <c r="E14" s="11" t="s">
        <v>1015</v>
      </c>
      <c r="F14" s="11" t="s">
        <v>1016</v>
      </c>
      <c r="G14" s="11" t="s">
        <v>977</v>
      </c>
      <c r="H14" s="11" t="s">
        <v>987</v>
      </c>
      <c r="I14" s="13"/>
      <c r="J14" s="13"/>
      <c r="K14" s="11" t="s">
        <v>979</v>
      </c>
      <c r="L14" s="12" t="s">
        <v>42</v>
      </c>
      <c r="M14" s="11"/>
      <c r="N14" s="11"/>
      <c r="O14" s="11"/>
    </row>
    <row r="15" customFormat="false" ht="57.45" hidden="false" customHeight="false" outlineLevel="0" collapsed="false">
      <c r="A15" s="11"/>
      <c r="B15" s="11" t="s">
        <v>1013</v>
      </c>
      <c r="C15" s="11" t="s">
        <v>974</v>
      </c>
      <c r="D15" s="11" t="s">
        <v>1017</v>
      </c>
      <c r="E15" s="11" t="s">
        <v>1018</v>
      </c>
      <c r="F15" s="11" t="s">
        <v>1019</v>
      </c>
      <c r="G15" s="11" t="s">
        <v>977</v>
      </c>
      <c r="H15" s="11" t="s">
        <v>978</v>
      </c>
      <c r="I15" s="13"/>
      <c r="J15" s="13"/>
      <c r="K15" s="11" t="s">
        <v>979</v>
      </c>
      <c r="L15" s="12" t="s">
        <v>42</v>
      </c>
      <c r="M15" s="11"/>
      <c r="N15" s="11"/>
      <c r="O15" s="11"/>
    </row>
    <row r="16" customFormat="false" ht="661.9" hidden="false" customHeight="false" outlineLevel="0" collapsed="false">
      <c r="A16" s="11"/>
      <c r="B16" s="11" t="s">
        <v>1013</v>
      </c>
      <c r="C16" s="11" t="s">
        <v>974</v>
      </c>
      <c r="D16" s="11" t="s">
        <v>1020</v>
      </c>
      <c r="E16" s="11" t="s">
        <v>1021</v>
      </c>
      <c r="F16" s="11" t="s">
        <v>1022</v>
      </c>
      <c r="G16" s="11" t="s">
        <v>977</v>
      </c>
      <c r="H16" s="11" t="s">
        <v>978</v>
      </c>
      <c r="I16" s="13"/>
      <c r="J16" s="13"/>
      <c r="K16" s="11" t="s">
        <v>979</v>
      </c>
      <c r="L16" s="12" t="s">
        <v>42</v>
      </c>
      <c r="M16" s="11"/>
      <c r="N16" s="11"/>
      <c r="O16" s="11"/>
    </row>
    <row r="17" customFormat="false" ht="15" hidden="false" customHeight="false" outlineLevel="0" collapsed="false">
      <c r="A17" s="11"/>
      <c r="B17" s="11" t="s">
        <v>1013</v>
      </c>
      <c r="C17" s="11" t="s">
        <v>974</v>
      </c>
      <c r="D17" s="11" t="s">
        <v>1023</v>
      </c>
      <c r="E17" s="11" t="s">
        <v>1023</v>
      </c>
      <c r="F17" s="11" t="s">
        <v>1024</v>
      </c>
      <c r="G17" s="11" t="s">
        <v>977</v>
      </c>
      <c r="H17" s="11" t="s">
        <v>978</v>
      </c>
      <c r="I17" s="13"/>
      <c r="J17" s="13"/>
      <c r="K17" s="11" t="s">
        <v>979</v>
      </c>
      <c r="L17" s="12" t="s">
        <v>42</v>
      </c>
      <c r="M17" s="11"/>
      <c r="N17" s="11"/>
      <c r="O17" s="11"/>
    </row>
    <row r="18" customFormat="false" ht="15" hidden="false" customHeight="false" outlineLevel="0" collapsed="false">
      <c r="A18" s="11"/>
      <c r="B18" s="11" t="s">
        <v>1013</v>
      </c>
      <c r="C18" s="11" t="s">
        <v>974</v>
      </c>
      <c r="D18" s="11" t="s">
        <v>1025</v>
      </c>
      <c r="E18" s="11" t="s">
        <v>1026</v>
      </c>
      <c r="F18" s="11" t="s">
        <v>1027</v>
      </c>
      <c r="G18" s="11" t="s">
        <v>977</v>
      </c>
      <c r="H18" s="11" t="s">
        <v>978</v>
      </c>
      <c r="I18" s="13"/>
      <c r="J18" s="13"/>
      <c r="K18" s="11" t="s">
        <v>979</v>
      </c>
      <c r="L18" s="12" t="s">
        <v>42</v>
      </c>
      <c r="M18" s="11"/>
      <c r="N18" s="11"/>
      <c r="O18" s="11"/>
    </row>
    <row r="19" customFormat="false" ht="15" hidden="false" customHeight="false" outlineLevel="0" collapsed="false">
      <c r="A19" s="11"/>
      <c r="B19" s="11" t="s">
        <v>1013</v>
      </c>
      <c r="C19" s="11" t="s">
        <v>974</v>
      </c>
      <c r="D19" s="11" t="s">
        <v>1028</v>
      </c>
      <c r="E19" s="11" t="s">
        <v>1029</v>
      </c>
      <c r="F19" s="11" t="s">
        <v>1030</v>
      </c>
      <c r="G19" s="11" t="s">
        <v>977</v>
      </c>
      <c r="H19" s="11" t="s">
        <v>978</v>
      </c>
      <c r="I19" s="13"/>
      <c r="J19" s="13"/>
      <c r="K19" s="11" t="s">
        <v>1031</v>
      </c>
      <c r="L19" s="12" t="s">
        <v>42</v>
      </c>
      <c r="M19" s="11" t="s">
        <v>1032</v>
      </c>
      <c r="N19" s="11"/>
      <c r="O19" s="11"/>
    </row>
    <row r="20" customFormat="false" ht="15" hidden="false" customHeight="false" outlineLevel="0" collapsed="false">
      <c r="A20" s="11"/>
      <c r="B20" s="11" t="s">
        <v>1013</v>
      </c>
      <c r="C20" s="11" t="s">
        <v>974</v>
      </c>
      <c r="D20" s="11" t="s">
        <v>1033</v>
      </c>
      <c r="E20" s="11" t="s">
        <v>1029</v>
      </c>
      <c r="F20" s="11" t="s">
        <v>1034</v>
      </c>
      <c r="G20" s="11" t="s">
        <v>977</v>
      </c>
      <c r="H20" s="11" t="s">
        <v>978</v>
      </c>
      <c r="I20" s="13"/>
      <c r="J20" s="13"/>
      <c r="K20" s="11" t="s">
        <v>1031</v>
      </c>
      <c r="L20" s="12" t="s">
        <v>42</v>
      </c>
      <c r="M20" s="11" t="s">
        <v>1032</v>
      </c>
      <c r="N20" s="11"/>
      <c r="O20" s="11"/>
    </row>
    <row r="21" customFormat="false" ht="35.05" hidden="false" customHeight="false" outlineLevel="0" collapsed="false">
      <c r="A21" s="11"/>
      <c r="B21" s="11" t="s">
        <v>1013</v>
      </c>
      <c r="C21" s="11" t="s">
        <v>974</v>
      </c>
      <c r="D21" s="11" t="s">
        <v>1035</v>
      </c>
      <c r="E21" s="11" t="s">
        <v>1036</v>
      </c>
      <c r="F21" s="11" t="s">
        <v>1037</v>
      </c>
      <c r="G21" s="11" t="s">
        <v>977</v>
      </c>
      <c r="H21" s="11" t="s">
        <v>987</v>
      </c>
      <c r="I21" s="13"/>
      <c r="J21" s="13"/>
      <c r="K21" s="11" t="s">
        <v>979</v>
      </c>
      <c r="L21" s="12" t="s">
        <v>42</v>
      </c>
      <c r="M21" s="11"/>
      <c r="N21" s="11"/>
      <c r="O21" s="11"/>
    </row>
    <row r="22" customFormat="false" ht="236.55" hidden="false" customHeight="false" outlineLevel="0" collapsed="false">
      <c r="A22" s="11"/>
      <c r="B22" s="11" t="s">
        <v>1013</v>
      </c>
      <c r="C22" s="11" t="s">
        <v>974</v>
      </c>
      <c r="D22" s="11" t="s">
        <v>1038</v>
      </c>
      <c r="E22" s="11" t="s">
        <v>1039</v>
      </c>
      <c r="F22" s="11" t="s">
        <v>1040</v>
      </c>
      <c r="G22" s="11" t="s">
        <v>977</v>
      </c>
      <c r="H22" s="11" t="s">
        <v>987</v>
      </c>
      <c r="I22" s="13"/>
      <c r="J22" s="13"/>
      <c r="K22" s="11" t="s">
        <v>979</v>
      </c>
      <c r="L22" s="12" t="s">
        <v>42</v>
      </c>
      <c r="M22" s="11"/>
      <c r="N22" s="11"/>
      <c r="O22" s="11"/>
    </row>
    <row r="23" customFormat="false" ht="15" hidden="false" customHeight="false" outlineLevel="0" collapsed="false">
      <c r="A23" s="11"/>
      <c r="B23" s="11" t="s">
        <v>1013</v>
      </c>
      <c r="C23" s="11" t="s">
        <v>974</v>
      </c>
      <c r="D23" s="11" t="s">
        <v>1041</v>
      </c>
      <c r="E23" s="11" t="s">
        <v>1041</v>
      </c>
      <c r="F23" s="11" t="s">
        <v>1042</v>
      </c>
      <c r="G23" s="11" t="s">
        <v>977</v>
      </c>
      <c r="H23" s="11" t="s">
        <v>978</v>
      </c>
      <c r="I23" s="13"/>
      <c r="J23" s="13"/>
      <c r="K23" s="11" t="s">
        <v>1031</v>
      </c>
      <c r="L23" s="12" t="s">
        <v>42</v>
      </c>
      <c r="M23" s="11" t="s">
        <v>1032</v>
      </c>
      <c r="N23" s="11"/>
      <c r="O23" s="11"/>
    </row>
    <row r="24" customFormat="false" ht="15" hidden="false" customHeight="false" outlineLevel="0" collapsed="false">
      <c r="A24" s="11"/>
      <c r="B24" s="11" t="s">
        <v>1013</v>
      </c>
      <c r="C24" s="11" t="s">
        <v>974</v>
      </c>
      <c r="D24" s="11" t="s">
        <v>1043</v>
      </c>
      <c r="E24" s="11" t="s">
        <v>1044</v>
      </c>
      <c r="F24" s="11" t="s">
        <v>1045</v>
      </c>
      <c r="G24" s="11" t="s">
        <v>977</v>
      </c>
      <c r="H24" s="11" t="s">
        <v>978</v>
      </c>
      <c r="I24" s="13"/>
      <c r="J24" s="13"/>
      <c r="K24" s="11" t="s">
        <v>979</v>
      </c>
      <c r="L24" s="12" t="s">
        <v>42</v>
      </c>
      <c r="M24" s="11"/>
      <c r="N24" s="11"/>
      <c r="O24" s="11"/>
    </row>
    <row r="25" customFormat="false" ht="247.75" hidden="false" customHeight="false" outlineLevel="0" collapsed="false">
      <c r="A25" s="11"/>
      <c r="B25" s="11" t="s">
        <v>1013</v>
      </c>
      <c r="C25" s="11" t="s">
        <v>974</v>
      </c>
      <c r="D25" s="11" t="s">
        <v>1046</v>
      </c>
      <c r="E25" s="11" t="s">
        <v>1047</v>
      </c>
      <c r="F25" s="11" t="s">
        <v>1048</v>
      </c>
      <c r="G25" s="11" t="s">
        <v>977</v>
      </c>
      <c r="H25" s="11" t="s">
        <v>978</v>
      </c>
      <c r="I25" s="13"/>
      <c r="J25" s="13"/>
      <c r="K25" s="11" t="s">
        <v>979</v>
      </c>
      <c r="L25" s="12" t="s">
        <v>42</v>
      </c>
      <c r="M25" s="11"/>
      <c r="N25" s="11"/>
      <c r="O25" s="11"/>
    </row>
    <row r="26" customFormat="false" ht="15" hidden="false" customHeight="false" outlineLevel="0" collapsed="false">
      <c r="A26" s="11"/>
      <c r="B26" s="11" t="s">
        <v>1013</v>
      </c>
      <c r="C26" s="11" t="s">
        <v>974</v>
      </c>
      <c r="D26" s="11" t="s">
        <v>1049</v>
      </c>
      <c r="E26" s="11" t="s">
        <v>1050</v>
      </c>
      <c r="F26" s="11" t="s">
        <v>1051</v>
      </c>
      <c r="G26" s="11" t="s">
        <v>977</v>
      </c>
      <c r="H26" s="11" t="s">
        <v>978</v>
      </c>
      <c r="I26" s="13"/>
      <c r="J26" s="13"/>
      <c r="K26" s="11" t="s">
        <v>1031</v>
      </c>
      <c r="L26" s="12" t="s">
        <v>42</v>
      </c>
      <c r="M26" s="11" t="s">
        <v>1032</v>
      </c>
      <c r="N26" s="11"/>
      <c r="O26" s="11"/>
    </row>
    <row r="27" customFormat="false" ht="79.85" hidden="false" customHeight="false" outlineLevel="0" collapsed="false">
      <c r="A27" s="11"/>
      <c r="B27" s="11" t="s">
        <v>1013</v>
      </c>
      <c r="C27" s="11" t="s">
        <v>1009</v>
      </c>
      <c r="D27" s="11" t="s">
        <v>1052</v>
      </c>
      <c r="E27" s="11" t="s">
        <v>1053</v>
      </c>
      <c r="F27" s="11" t="s">
        <v>1054</v>
      </c>
      <c r="G27" s="11" t="s">
        <v>977</v>
      </c>
      <c r="H27" s="11" t="s">
        <v>978</v>
      </c>
      <c r="I27" s="13"/>
      <c r="J27" s="13"/>
      <c r="K27" s="11" t="s">
        <v>1031</v>
      </c>
      <c r="L27" s="12" t="s">
        <v>42</v>
      </c>
      <c r="M27" s="11" t="s">
        <v>1055</v>
      </c>
      <c r="N27" s="11"/>
      <c r="O27" s="11"/>
    </row>
    <row r="28" customFormat="false" ht="147" hidden="false" customHeight="false" outlineLevel="0" collapsed="false">
      <c r="A28" s="11"/>
      <c r="B28" s="11" t="s">
        <v>1013</v>
      </c>
      <c r="C28" s="11" t="s">
        <v>1009</v>
      </c>
      <c r="D28" s="11" t="s">
        <v>1052</v>
      </c>
      <c r="E28" s="11" t="s">
        <v>1056</v>
      </c>
      <c r="F28" s="11" t="s">
        <v>1057</v>
      </c>
      <c r="G28" s="11" t="s">
        <v>977</v>
      </c>
      <c r="H28" s="11" t="s">
        <v>978</v>
      </c>
      <c r="I28" s="13"/>
      <c r="J28" s="13"/>
      <c r="K28" s="11" t="s">
        <v>979</v>
      </c>
      <c r="L28" s="12" t="s">
        <v>42</v>
      </c>
      <c r="M28" s="11"/>
      <c r="N28" s="11"/>
      <c r="O28" s="11"/>
    </row>
    <row r="29" customFormat="false" ht="79.85" hidden="false" customHeight="false" outlineLevel="0" collapsed="false">
      <c r="A29" s="11"/>
      <c r="B29" s="11" t="s">
        <v>1013</v>
      </c>
      <c r="C29" s="11" t="s">
        <v>1009</v>
      </c>
      <c r="D29" s="11" t="s">
        <v>1052</v>
      </c>
      <c r="E29" s="11" t="s">
        <v>1058</v>
      </c>
      <c r="F29" s="11" t="s">
        <v>1059</v>
      </c>
      <c r="G29" s="11" t="s">
        <v>977</v>
      </c>
      <c r="H29" s="11" t="s">
        <v>978</v>
      </c>
      <c r="I29" s="13"/>
      <c r="J29" s="13"/>
      <c r="K29" s="11" t="s">
        <v>979</v>
      </c>
      <c r="L29" s="12" t="s">
        <v>42</v>
      </c>
      <c r="M29" s="11"/>
      <c r="N29" s="11"/>
      <c r="O29" s="11"/>
    </row>
    <row r="30" customFormat="false" ht="68.65" hidden="false" customHeight="false" outlineLevel="0" collapsed="false">
      <c r="A30" s="11"/>
      <c r="B30" s="11" t="s">
        <v>1013</v>
      </c>
      <c r="C30" s="11" t="s">
        <v>1009</v>
      </c>
      <c r="D30" s="11" t="s">
        <v>1052</v>
      </c>
      <c r="E30" s="11" t="s">
        <v>1060</v>
      </c>
      <c r="F30" s="11" t="s">
        <v>1061</v>
      </c>
      <c r="G30" s="11" t="s">
        <v>977</v>
      </c>
      <c r="H30" s="11" t="s">
        <v>978</v>
      </c>
      <c r="I30" s="13"/>
      <c r="J30" s="13"/>
      <c r="K30" s="11" t="s">
        <v>979</v>
      </c>
      <c r="L30" s="12" t="s">
        <v>42</v>
      </c>
      <c r="M30" s="11"/>
      <c r="N30" s="11"/>
      <c r="O30" s="11"/>
    </row>
    <row r="31" customFormat="false" ht="57.45" hidden="false" customHeight="false" outlineLevel="0" collapsed="false">
      <c r="A31" s="11"/>
      <c r="B31" s="11" t="s">
        <v>1013</v>
      </c>
      <c r="C31" s="11" t="s">
        <v>1009</v>
      </c>
      <c r="D31" s="11" t="s">
        <v>1052</v>
      </c>
      <c r="E31" s="11" t="s">
        <v>1062</v>
      </c>
      <c r="F31" s="11" t="s">
        <v>1063</v>
      </c>
      <c r="G31" s="11" t="s">
        <v>977</v>
      </c>
      <c r="H31" s="11" t="s">
        <v>978</v>
      </c>
      <c r="I31" s="13"/>
      <c r="J31" s="13"/>
      <c r="K31" s="11" t="s">
        <v>979</v>
      </c>
      <c r="L31" s="12" t="s">
        <v>42</v>
      </c>
      <c r="M31" s="11"/>
      <c r="N31" s="11"/>
      <c r="O31" s="11"/>
    </row>
    <row r="32" customFormat="false" ht="102.2" hidden="false" customHeight="false" outlineLevel="0" collapsed="false">
      <c r="A32" s="11"/>
      <c r="B32" s="11" t="s">
        <v>1013</v>
      </c>
      <c r="C32" s="11" t="s">
        <v>1009</v>
      </c>
      <c r="D32" s="11" t="s">
        <v>1052</v>
      </c>
      <c r="E32" s="11" t="s">
        <v>1064</v>
      </c>
      <c r="F32" s="11" t="s">
        <v>1065</v>
      </c>
      <c r="G32" s="11" t="s">
        <v>977</v>
      </c>
      <c r="H32" s="11" t="s">
        <v>978</v>
      </c>
      <c r="I32" s="13"/>
      <c r="J32" s="13"/>
      <c r="K32" s="11" t="s">
        <v>979</v>
      </c>
      <c r="L32" s="12" t="s">
        <v>42</v>
      </c>
      <c r="M32" s="11"/>
      <c r="N32" s="11"/>
      <c r="O32" s="11"/>
    </row>
    <row r="33" customFormat="false" ht="68.65" hidden="false" customHeight="false" outlineLevel="0" collapsed="false">
      <c r="A33" s="11"/>
      <c r="B33" s="11" t="s">
        <v>1013</v>
      </c>
      <c r="C33" s="11" t="s">
        <v>1009</v>
      </c>
      <c r="D33" s="11" t="s">
        <v>1066</v>
      </c>
      <c r="E33" s="11" t="s">
        <v>1067</v>
      </c>
      <c r="F33" s="11" t="s">
        <v>1068</v>
      </c>
      <c r="G33" s="11" t="s">
        <v>1069</v>
      </c>
      <c r="H33" s="11" t="s">
        <v>978</v>
      </c>
      <c r="I33" s="13"/>
      <c r="J33" s="13"/>
      <c r="K33" s="11" t="s">
        <v>1031</v>
      </c>
      <c r="L33" s="12" t="s">
        <v>42</v>
      </c>
      <c r="M33" s="11" t="s">
        <v>1032</v>
      </c>
      <c r="N33" s="11"/>
      <c r="O33" s="11"/>
    </row>
    <row r="34" customFormat="false" ht="124.6" hidden="false" customHeight="false" outlineLevel="0" collapsed="false">
      <c r="A34" s="11"/>
      <c r="B34" s="11" t="s">
        <v>1013</v>
      </c>
      <c r="C34" s="11" t="s">
        <v>1009</v>
      </c>
      <c r="D34" s="11" t="s">
        <v>1070</v>
      </c>
      <c r="E34" s="11" t="s">
        <v>1071</v>
      </c>
      <c r="F34" s="11" t="s">
        <v>1072</v>
      </c>
      <c r="G34" s="11" t="s">
        <v>1073</v>
      </c>
      <c r="H34" s="11" t="s">
        <v>978</v>
      </c>
      <c r="I34" s="13"/>
      <c r="J34" s="13"/>
      <c r="K34" s="11" t="s">
        <v>1031</v>
      </c>
      <c r="L34" s="12" t="s">
        <v>42</v>
      </c>
      <c r="M34" s="11" t="s">
        <v>1032</v>
      </c>
      <c r="N34" s="11"/>
      <c r="O34" s="11"/>
    </row>
    <row r="35" customFormat="false" ht="57.45" hidden="false" customHeight="false" outlineLevel="0" collapsed="false">
      <c r="A35" s="11"/>
      <c r="B35" s="11" t="s">
        <v>1013</v>
      </c>
      <c r="C35" s="11" t="s">
        <v>1074</v>
      </c>
      <c r="D35" s="11" t="s">
        <v>1052</v>
      </c>
      <c r="E35" s="11" t="s">
        <v>1062</v>
      </c>
      <c r="F35" s="11" t="s">
        <v>1075</v>
      </c>
      <c r="G35" s="11" t="s">
        <v>977</v>
      </c>
      <c r="H35" s="11" t="s">
        <v>978</v>
      </c>
      <c r="I35" s="13"/>
      <c r="J35" s="13"/>
      <c r="K35" s="11" t="s">
        <v>979</v>
      </c>
      <c r="L35" s="12" t="s">
        <v>42</v>
      </c>
      <c r="M35" s="11"/>
      <c r="N35" s="11"/>
      <c r="O35" s="11"/>
    </row>
    <row r="36" customFormat="false" ht="35.05" hidden="false" customHeight="false" outlineLevel="0" collapsed="false">
      <c r="A36" s="11"/>
      <c r="B36" s="11" t="s">
        <v>1076</v>
      </c>
      <c r="C36" s="11" t="s">
        <v>1077</v>
      </c>
      <c r="D36" s="11" t="s">
        <v>1078</v>
      </c>
      <c r="E36" s="11" t="s">
        <v>1079</v>
      </c>
      <c r="F36" s="11" t="s">
        <v>977</v>
      </c>
      <c r="G36" s="11" t="s">
        <v>1080</v>
      </c>
      <c r="H36" s="11" t="s">
        <v>978</v>
      </c>
      <c r="I36" s="13"/>
      <c r="J36" s="13"/>
      <c r="K36" s="11" t="s">
        <v>979</v>
      </c>
      <c r="L36" s="12" t="s">
        <v>42</v>
      </c>
      <c r="M36" s="11"/>
      <c r="N36" s="11"/>
      <c r="O36" s="11"/>
    </row>
    <row r="37" customFormat="false" ht="158.2" hidden="false" customHeight="false" outlineLevel="0" collapsed="false">
      <c r="A37" s="11"/>
      <c r="B37" s="11" t="s">
        <v>1076</v>
      </c>
      <c r="C37" s="11" t="s">
        <v>1077</v>
      </c>
      <c r="D37" s="11" t="s">
        <v>1081</v>
      </c>
      <c r="E37" s="11" t="s">
        <v>1082</v>
      </c>
      <c r="F37" s="11" t="s">
        <v>1083</v>
      </c>
      <c r="G37" s="11" t="s">
        <v>977</v>
      </c>
      <c r="H37" s="11" t="s">
        <v>978</v>
      </c>
      <c r="I37" s="13"/>
      <c r="J37" s="13"/>
      <c r="K37" s="11" t="s">
        <v>979</v>
      </c>
      <c r="L37" s="12" t="s">
        <v>42</v>
      </c>
      <c r="M37" s="11"/>
      <c r="N37" s="11"/>
      <c r="O37" s="11"/>
    </row>
    <row r="38" customFormat="false" ht="135.8" hidden="false" customHeight="false" outlineLevel="0" collapsed="false">
      <c r="A38" s="11"/>
      <c r="B38" s="11" t="s">
        <v>1076</v>
      </c>
      <c r="C38" s="11" t="s">
        <v>1077</v>
      </c>
      <c r="D38" s="11" t="s">
        <v>1081</v>
      </c>
      <c r="E38" s="11" t="s">
        <v>1084</v>
      </c>
      <c r="F38" s="11" t="s">
        <v>1083</v>
      </c>
      <c r="G38" s="11" t="s">
        <v>977</v>
      </c>
      <c r="H38" s="11" t="s">
        <v>978</v>
      </c>
      <c r="I38" s="13"/>
      <c r="J38" s="13"/>
      <c r="K38" s="11" t="s">
        <v>979</v>
      </c>
      <c r="L38" s="12" t="s">
        <v>42</v>
      </c>
      <c r="M38" s="11"/>
      <c r="N38" s="11"/>
      <c r="O38" s="11"/>
    </row>
    <row r="39" customFormat="false" ht="23.85" hidden="false" customHeight="false" outlineLevel="0" collapsed="false">
      <c r="A39" s="11"/>
      <c r="B39" s="11" t="s">
        <v>1076</v>
      </c>
      <c r="C39" s="11" t="s">
        <v>1077</v>
      </c>
      <c r="D39" s="11" t="s">
        <v>1081</v>
      </c>
      <c r="E39" s="11"/>
      <c r="F39" s="11" t="s">
        <v>1085</v>
      </c>
      <c r="G39" s="11" t="s">
        <v>977</v>
      </c>
      <c r="H39" s="11" t="s">
        <v>978</v>
      </c>
      <c r="I39" s="13"/>
      <c r="J39" s="13"/>
      <c r="K39" s="11" t="s">
        <v>979</v>
      </c>
      <c r="L39" s="12" t="s">
        <v>42</v>
      </c>
      <c r="M39" s="11"/>
      <c r="N39" s="11"/>
      <c r="O39" s="11"/>
    </row>
    <row r="40" customFormat="false" ht="46.25" hidden="false" customHeight="false" outlineLevel="0" collapsed="false">
      <c r="A40" s="11"/>
      <c r="B40" s="11" t="s">
        <v>1076</v>
      </c>
      <c r="C40" s="11" t="s">
        <v>1077</v>
      </c>
      <c r="D40" s="11" t="s">
        <v>1086</v>
      </c>
      <c r="E40" s="11" t="s">
        <v>1087</v>
      </c>
      <c r="F40" s="11" t="s">
        <v>977</v>
      </c>
      <c r="G40" s="11" t="s">
        <v>1080</v>
      </c>
      <c r="H40" s="11" t="s">
        <v>978</v>
      </c>
      <c r="I40" s="13"/>
      <c r="J40" s="13"/>
      <c r="K40" s="11" t="s">
        <v>979</v>
      </c>
      <c r="L40" s="12" t="s">
        <v>42</v>
      </c>
      <c r="M40" s="11"/>
      <c r="N40" s="11"/>
      <c r="O40" s="11"/>
    </row>
    <row r="41" customFormat="false" ht="57.45" hidden="false" customHeight="false" outlineLevel="0" collapsed="false">
      <c r="A41" s="11"/>
      <c r="B41" s="11" t="s">
        <v>1076</v>
      </c>
      <c r="C41" s="11" t="s">
        <v>1077</v>
      </c>
      <c r="D41" s="11" t="s">
        <v>1088</v>
      </c>
      <c r="E41" s="11" t="s">
        <v>1089</v>
      </c>
      <c r="F41" s="11" t="s">
        <v>977</v>
      </c>
      <c r="G41" s="11" t="s">
        <v>1090</v>
      </c>
      <c r="H41" s="11" t="s">
        <v>978</v>
      </c>
      <c r="I41" s="13"/>
      <c r="J41" s="13"/>
      <c r="K41" s="11" t="s">
        <v>979</v>
      </c>
      <c r="L41" s="12" t="s">
        <v>42</v>
      </c>
      <c r="M41" s="11"/>
      <c r="N41" s="11"/>
      <c r="O41" s="11"/>
    </row>
    <row r="42" customFormat="false" ht="23.85" hidden="false" customHeight="false" outlineLevel="0" collapsed="false">
      <c r="A42" s="11"/>
      <c r="B42" s="11" t="s">
        <v>1076</v>
      </c>
      <c r="C42" s="11" t="s">
        <v>1077</v>
      </c>
      <c r="D42" s="11" t="s">
        <v>1091</v>
      </c>
      <c r="E42" s="11" t="s">
        <v>1092</v>
      </c>
      <c r="F42" s="11" t="s">
        <v>1093</v>
      </c>
      <c r="G42" s="11" t="s">
        <v>977</v>
      </c>
      <c r="H42" s="11" t="s">
        <v>978</v>
      </c>
      <c r="I42" s="13"/>
      <c r="J42" s="13"/>
      <c r="K42" s="11" t="s">
        <v>1031</v>
      </c>
      <c r="L42" s="12" t="s">
        <v>42</v>
      </c>
      <c r="M42" s="11" t="s">
        <v>1032</v>
      </c>
      <c r="N42" s="11"/>
      <c r="O42" s="11"/>
    </row>
    <row r="43" customFormat="false" ht="57.45" hidden="false" customHeight="false" outlineLevel="0" collapsed="false">
      <c r="A43" s="11"/>
      <c r="B43" s="11" t="s">
        <v>1076</v>
      </c>
      <c r="C43" s="11" t="s">
        <v>1077</v>
      </c>
      <c r="D43" s="11" t="s">
        <v>1094</v>
      </c>
      <c r="E43" s="11" t="s">
        <v>1095</v>
      </c>
      <c r="F43" s="11" t="s">
        <v>1083</v>
      </c>
      <c r="G43" s="11" t="s">
        <v>1096</v>
      </c>
      <c r="H43" s="11" t="s">
        <v>978</v>
      </c>
      <c r="I43" s="13"/>
      <c r="J43" s="13"/>
      <c r="K43" s="11" t="s">
        <v>979</v>
      </c>
      <c r="L43" s="12" t="s">
        <v>42</v>
      </c>
      <c r="M43" s="11"/>
      <c r="N43" s="11"/>
      <c r="O43" s="11"/>
    </row>
    <row r="44" customFormat="false" ht="91" hidden="false" customHeight="false" outlineLevel="0" collapsed="false">
      <c r="A44" s="11"/>
      <c r="B44" s="11" t="s">
        <v>1076</v>
      </c>
      <c r="C44" s="11" t="s">
        <v>1077</v>
      </c>
      <c r="D44" s="11" t="s">
        <v>1097</v>
      </c>
      <c r="E44" s="11" t="s">
        <v>1098</v>
      </c>
      <c r="F44" s="11" t="s">
        <v>1099</v>
      </c>
      <c r="G44" s="11" t="s">
        <v>977</v>
      </c>
      <c r="H44" s="11" t="s">
        <v>978</v>
      </c>
      <c r="I44" s="13"/>
      <c r="J44" s="13"/>
      <c r="K44" s="11" t="s">
        <v>979</v>
      </c>
      <c r="L44" s="12" t="s">
        <v>42</v>
      </c>
      <c r="M44" s="11"/>
      <c r="N44" s="11"/>
      <c r="O44" s="11"/>
    </row>
    <row r="45" customFormat="false" ht="23.85" hidden="false" customHeight="false" outlineLevel="0" collapsed="false">
      <c r="A45" s="11"/>
      <c r="B45" s="11" t="s">
        <v>1100</v>
      </c>
      <c r="C45" s="11" t="s">
        <v>974</v>
      </c>
      <c r="D45" s="11" t="s">
        <v>1101</v>
      </c>
      <c r="E45" s="11" t="s">
        <v>1102</v>
      </c>
      <c r="F45" s="11" t="s">
        <v>1103</v>
      </c>
      <c r="G45" s="11" t="s">
        <v>977</v>
      </c>
      <c r="H45" s="11" t="s">
        <v>983</v>
      </c>
      <c r="I45" s="13"/>
      <c r="J45" s="13"/>
      <c r="K45" s="11" t="s">
        <v>979</v>
      </c>
      <c r="L45" s="12" t="s">
        <v>42</v>
      </c>
      <c r="M45" s="11"/>
      <c r="N45" s="11"/>
      <c r="O45" s="11"/>
    </row>
    <row r="46" customFormat="false" ht="15" hidden="false" customHeight="false" outlineLevel="0" collapsed="false">
      <c r="A46" s="11"/>
      <c r="B46" s="11" t="s">
        <v>1100</v>
      </c>
      <c r="C46" s="11" t="s">
        <v>974</v>
      </c>
      <c r="D46" s="11" t="s">
        <v>1104</v>
      </c>
      <c r="E46" s="11" t="s">
        <v>1105</v>
      </c>
      <c r="F46" s="11" t="s">
        <v>1106</v>
      </c>
      <c r="G46" s="11" t="s">
        <v>977</v>
      </c>
      <c r="H46" s="11" t="s">
        <v>987</v>
      </c>
      <c r="I46" s="13"/>
      <c r="J46" s="13"/>
      <c r="K46" s="11" t="s">
        <v>979</v>
      </c>
      <c r="L46" s="12" t="s">
        <v>42</v>
      </c>
      <c r="M46" s="11"/>
      <c r="N46" s="11"/>
      <c r="O46" s="11"/>
    </row>
    <row r="47" customFormat="false" ht="35.05" hidden="false" customHeight="false" outlineLevel="0" collapsed="false">
      <c r="A47" s="11"/>
      <c r="B47" s="11" t="s">
        <v>1100</v>
      </c>
      <c r="C47" s="11" t="s">
        <v>974</v>
      </c>
      <c r="D47" s="11" t="s">
        <v>1107</v>
      </c>
      <c r="E47" s="11" t="s">
        <v>1108</v>
      </c>
      <c r="F47" s="11" t="s">
        <v>1008</v>
      </c>
      <c r="G47" s="11" t="s">
        <v>977</v>
      </c>
      <c r="H47" s="11" t="s">
        <v>987</v>
      </c>
      <c r="I47" s="13"/>
      <c r="J47" s="13"/>
      <c r="K47" s="11" t="s">
        <v>979</v>
      </c>
      <c r="L47" s="12" t="s">
        <v>42</v>
      </c>
      <c r="M47" s="11"/>
      <c r="N47" s="11"/>
      <c r="O47" s="11"/>
    </row>
    <row r="48" customFormat="false" ht="68.65" hidden="false" customHeight="false" outlineLevel="0" collapsed="false">
      <c r="A48" s="11"/>
      <c r="B48" s="11" t="s">
        <v>1100</v>
      </c>
      <c r="C48" s="11" t="s">
        <v>974</v>
      </c>
      <c r="D48" s="11" t="s">
        <v>1109</v>
      </c>
      <c r="E48" s="11" t="s">
        <v>1110</v>
      </c>
      <c r="F48" s="11" t="s">
        <v>1111</v>
      </c>
      <c r="G48" s="11" t="s">
        <v>977</v>
      </c>
      <c r="H48" s="11" t="s">
        <v>987</v>
      </c>
      <c r="I48" s="13"/>
      <c r="J48" s="13"/>
      <c r="K48" s="11" t="s">
        <v>979</v>
      </c>
      <c r="L48" s="12" t="s">
        <v>42</v>
      </c>
      <c r="M48" s="11"/>
      <c r="N48" s="11"/>
      <c r="O48" s="11"/>
    </row>
    <row r="49" customFormat="false" ht="79.85" hidden="false" customHeight="false" outlineLevel="0" collapsed="false">
      <c r="A49" s="11"/>
      <c r="B49" s="11" t="s">
        <v>1100</v>
      </c>
      <c r="C49" s="11" t="s">
        <v>974</v>
      </c>
      <c r="D49" s="11" t="s">
        <v>1112</v>
      </c>
      <c r="E49" s="11" t="s">
        <v>1113</v>
      </c>
      <c r="F49" s="11" t="s">
        <v>1114</v>
      </c>
      <c r="G49" s="11" t="s">
        <v>977</v>
      </c>
      <c r="H49" s="11" t="s">
        <v>987</v>
      </c>
      <c r="I49" s="13"/>
      <c r="J49" s="13"/>
      <c r="K49" s="11" t="s">
        <v>979</v>
      </c>
      <c r="L49" s="12" t="s">
        <v>42</v>
      </c>
      <c r="M49" s="11"/>
      <c r="N49" s="11"/>
      <c r="O49" s="11"/>
    </row>
    <row r="50" customFormat="false" ht="23.85" hidden="false" customHeight="false" outlineLevel="0" collapsed="false">
      <c r="A50" s="11"/>
      <c r="B50" s="11" t="s">
        <v>1100</v>
      </c>
      <c r="C50" s="11" t="s">
        <v>974</v>
      </c>
      <c r="D50" s="11" t="s">
        <v>1115</v>
      </c>
      <c r="E50" s="11" t="s">
        <v>1116</v>
      </c>
      <c r="F50" s="11" t="s">
        <v>1117</v>
      </c>
      <c r="G50" s="11" t="s">
        <v>977</v>
      </c>
      <c r="H50" s="11" t="s">
        <v>978</v>
      </c>
      <c r="I50" s="13"/>
      <c r="J50" s="13"/>
      <c r="K50" s="11" t="s">
        <v>1031</v>
      </c>
      <c r="L50" s="12" t="s">
        <v>42</v>
      </c>
      <c r="M50" s="11" t="s">
        <v>1032</v>
      </c>
      <c r="N50" s="11"/>
      <c r="O50" s="11"/>
    </row>
    <row r="51" customFormat="false" ht="57.45" hidden="false" customHeight="false" outlineLevel="0" collapsed="false">
      <c r="A51" s="11"/>
      <c r="B51" s="11" t="s">
        <v>1100</v>
      </c>
      <c r="C51" s="11" t="s">
        <v>974</v>
      </c>
      <c r="D51" s="11" t="s">
        <v>1118</v>
      </c>
      <c r="E51" s="11" t="s">
        <v>1119</v>
      </c>
      <c r="F51" s="11" t="s">
        <v>1120</v>
      </c>
      <c r="G51" s="11" t="s">
        <v>977</v>
      </c>
      <c r="H51" s="11" t="s">
        <v>978</v>
      </c>
      <c r="I51" s="13"/>
      <c r="J51" s="13"/>
      <c r="K51" s="11" t="s">
        <v>979</v>
      </c>
      <c r="L51" s="12" t="s">
        <v>42</v>
      </c>
      <c r="M51" s="11"/>
      <c r="N51" s="11"/>
      <c r="O51" s="11"/>
    </row>
    <row r="52" customFormat="false" ht="23.85" hidden="false" customHeight="false" outlineLevel="0" collapsed="false">
      <c r="A52" s="11"/>
      <c r="B52" s="11" t="s">
        <v>1100</v>
      </c>
      <c r="C52" s="11" t="s">
        <v>974</v>
      </c>
      <c r="D52" s="11" t="s">
        <v>1121</v>
      </c>
      <c r="E52" s="11" t="s">
        <v>1122</v>
      </c>
      <c r="F52" s="11" t="s">
        <v>1123</v>
      </c>
      <c r="G52" s="11" t="s">
        <v>977</v>
      </c>
      <c r="H52" s="11" t="s">
        <v>987</v>
      </c>
      <c r="I52" s="13"/>
      <c r="J52" s="13"/>
      <c r="K52" s="11" t="s">
        <v>979</v>
      </c>
      <c r="L52" s="12" t="s">
        <v>42</v>
      </c>
      <c r="M52" s="11"/>
      <c r="N52" s="11"/>
      <c r="O52" s="11"/>
    </row>
    <row r="53" customFormat="false" ht="35.05" hidden="false" customHeight="false" outlineLevel="0" collapsed="false">
      <c r="A53" s="11"/>
      <c r="B53" s="11" t="s">
        <v>1100</v>
      </c>
      <c r="C53" s="11" t="s">
        <v>974</v>
      </c>
      <c r="D53" s="11" t="s">
        <v>1124</v>
      </c>
      <c r="E53" s="11" t="s">
        <v>1125</v>
      </c>
      <c r="F53" s="11" t="s">
        <v>1126</v>
      </c>
      <c r="G53" s="11" t="s">
        <v>977</v>
      </c>
      <c r="H53" s="11" t="s">
        <v>987</v>
      </c>
      <c r="I53" s="13"/>
      <c r="J53" s="13"/>
      <c r="K53" s="11" t="s">
        <v>979</v>
      </c>
      <c r="L53" s="12" t="s">
        <v>42</v>
      </c>
      <c r="M53" s="11"/>
      <c r="N53" s="11"/>
      <c r="O53" s="11"/>
    </row>
    <row r="54" customFormat="false" ht="35.05" hidden="false" customHeight="false" outlineLevel="0" collapsed="false">
      <c r="A54" s="11"/>
      <c r="B54" s="11" t="s">
        <v>1100</v>
      </c>
      <c r="C54" s="11" t="s">
        <v>974</v>
      </c>
      <c r="D54" s="11" t="s">
        <v>1127</v>
      </c>
      <c r="E54" s="11" t="s">
        <v>1128</v>
      </c>
      <c r="F54" s="11" t="s">
        <v>1129</v>
      </c>
      <c r="G54" s="11" t="s">
        <v>977</v>
      </c>
      <c r="H54" s="11" t="s">
        <v>987</v>
      </c>
      <c r="I54" s="13"/>
      <c r="J54" s="13"/>
      <c r="K54" s="11" t="s">
        <v>979</v>
      </c>
      <c r="L54" s="12" t="s">
        <v>42</v>
      </c>
      <c r="M54" s="11"/>
      <c r="N54" s="11"/>
      <c r="O54" s="11"/>
    </row>
    <row r="55" customFormat="false" ht="23.85" hidden="false" customHeight="false" outlineLevel="0" collapsed="false">
      <c r="A55" s="11"/>
      <c r="B55" s="11" t="s">
        <v>1100</v>
      </c>
      <c r="C55" s="11" t="s">
        <v>974</v>
      </c>
      <c r="D55" s="11" t="s">
        <v>1130</v>
      </c>
      <c r="E55" s="11" t="s">
        <v>1131</v>
      </c>
      <c r="F55" s="11" t="s">
        <v>1132</v>
      </c>
      <c r="G55" s="11" t="s">
        <v>977</v>
      </c>
      <c r="H55" s="11" t="s">
        <v>987</v>
      </c>
      <c r="I55" s="13"/>
      <c r="J55" s="13"/>
      <c r="K55" s="11" t="s">
        <v>979</v>
      </c>
      <c r="L55" s="12" t="s">
        <v>42</v>
      </c>
      <c r="M55" s="11"/>
      <c r="N55" s="11"/>
      <c r="O55" s="11"/>
    </row>
    <row r="56" customFormat="false" ht="46.25" hidden="false" customHeight="false" outlineLevel="0" collapsed="false">
      <c r="A56" s="11"/>
      <c r="B56" s="11" t="s">
        <v>1100</v>
      </c>
      <c r="C56" s="11" t="s">
        <v>974</v>
      </c>
      <c r="D56" s="11" t="s">
        <v>1133</v>
      </c>
      <c r="E56" s="11" t="s">
        <v>1134</v>
      </c>
      <c r="F56" s="11" t="s">
        <v>1135</v>
      </c>
      <c r="G56" s="11" t="s">
        <v>977</v>
      </c>
      <c r="H56" s="11" t="s">
        <v>987</v>
      </c>
      <c r="I56" s="13"/>
      <c r="J56" s="13"/>
      <c r="K56" s="11" t="s">
        <v>979</v>
      </c>
      <c r="L56" s="12" t="s">
        <v>42</v>
      </c>
      <c r="M56" s="11"/>
      <c r="N56" s="11"/>
      <c r="O56" s="11"/>
    </row>
    <row r="57" customFormat="false" ht="35.05" hidden="false" customHeight="false" outlineLevel="0" collapsed="false">
      <c r="A57" s="11"/>
      <c r="B57" s="11" t="s">
        <v>1100</v>
      </c>
      <c r="C57" s="11" t="s">
        <v>974</v>
      </c>
      <c r="D57" s="11" t="s">
        <v>1136</v>
      </c>
      <c r="E57" s="11" t="s">
        <v>1137</v>
      </c>
      <c r="F57" s="11" t="s">
        <v>1138</v>
      </c>
      <c r="G57" s="11" t="s">
        <v>977</v>
      </c>
      <c r="H57" s="11" t="s">
        <v>978</v>
      </c>
      <c r="I57" s="13"/>
      <c r="J57" s="13"/>
      <c r="K57" s="11" t="s">
        <v>979</v>
      </c>
      <c r="L57" s="12" t="s">
        <v>42</v>
      </c>
      <c r="M57" s="11"/>
      <c r="N57" s="11"/>
      <c r="O57" s="11"/>
    </row>
    <row r="58" customFormat="false" ht="57.45" hidden="false" customHeight="false" outlineLevel="0" collapsed="false">
      <c r="A58" s="11"/>
      <c r="B58" s="11" t="s">
        <v>1100</v>
      </c>
      <c r="C58" s="11" t="s">
        <v>974</v>
      </c>
      <c r="D58" s="11" t="s">
        <v>1139</v>
      </c>
      <c r="E58" s="11" t="s">
        <v>1140</v>
      </c>
      <c r="F58" s="11" t="s">
        <v>1141</v>
      </c>
      <c r="G58" s="11" t="s">
        <v>977</v>
      </c>
      <c r="H58" s="11" t="s">
        <v>978</v>
      </c>
      <c r="I58" s="13"/>
      <c r="J58" s="13"/>
      <c r="K58" s="11" t="s">
        <v>979</v>
      </c>
      <c r="L58" s="12" t="s">
        <v>42</v>
      </c>
      <c r="M58" s="11"/>
      <c r="N58" s="11"/>
      <c r="O58" s="11"/>
    </row>
    <row r="59" customFormat="false" ht="46.25" hidden="false" customHeight="false" outlineLevel="0" collapsed="false">
      <c r="A59" s="11"/>
      <c r="B59" s="11" t="s">
        <v>1100</v>
      </c>
      <c r="C59" s="11" t="s">
        <v>974</v>
      </c>
      <c r="D59" s="11" t="s">
        <v>1142</v>
      </c>
      <c r="E59" s="11" t="s">
        <v>1143</v>
      </c>
      <c r="F59" s="11" t="s">
        <v>1144</v>
      </c>
      <c r="G59" s="11" t="s">
        <v>977</v>
      </c>
      <c r="H59" s="11" t="s">
        <v>983</v>
      </c>
      <c r="I59" s="13"/>
      <c r="J59" s="13"/>
      <c r="K59" s="11" t="s">
        <v>979</v>
      </c>
      <c r="L59" s="12" t="s">
        <v>42</v>
      </c>
      <c r="M59" s="11"/>
      <c r="N59" s="11"/>
      <c r="O59" s="11"/>
    </row>
    <row r="60" customFormat="false" ht="35.05" hidden="false" customHeight="false" outlineLevel="0" collapsed="false">
      <c r="A60" s="11"/>
      <c r="B60" s="11" t="s">
        <v>1100</v>
      </c>
      <c r="C60" s="11" t="s">
        <v>974</v>
      </c>
      <c r="D60" s="11" t="s">
        <v>1145</v>
      </c>
      <c r="E60" s="11" t="s">
        <v>1146</v>
      </c>
      <c r="F60" s="11" t="s">
        <v>1008</v>
      </c>
      <c r="G60" s="11" t="s">
        <v>977</v>
      </c>
      <c r="H60" s="11" t="s">
        <v>987</v>
      </c>
      <c r="I60" s="13"/>
      <c r="J60" s="13"/>
      <c r="K60" s="11" t="s">
        <v>979</v>
      </c>
      <c r="L60" s="12" t="s">
        <v>42</v>
      </c>
      <c r="M60" s="11"/>
      <c r="N60" s="11"/>
      <c r="O60" s="11"/>
    </row>
    <row r="61" customFormat="false" ht="15" hidden="false" customHeight="false" outlineLevel="0" collapsed="false">
      <c r="A61" s="11"/>
      <c r="B61" s="11" t="s">
        <v>1100</v>
      </c>
      <c r="C61" s="11" t="s">
        <v>974</v>
      </c>
      <c r="D61" s="11" t="s">
        <v>1147</v>
      </c>
      <c r="E61" s="11" t="s">
        <v>1148</v>
      </c>
      <c r="F61" s="11" t="s">
        <v>1149</v>
      </c>
      <c r="G61" s="11" t="s">
        <v>977</v>
      </c>
      <c r="H61" s="11" t="s">
        <v>978</v>
      </c>
      <c r="I61" s="13"/>
      <c r="J61" s="13"/>
      <c r="K61" s="11" t="s">
        <v>979</v>
      </c>
      <c r="L61" s="12" t="s">
        <v>42</v>
      </c>
      <c r="M61" s="11"/>
      <c r="N61" s="11"/>
      <c r="O61" s="11"/>
    </row>
    <row r="62" customFormat="false" ht="23.85" hidden="false" customHeight="false" outlineLevel="0" collapsed="false">
      <c r="A62" s="11"/>
      <c r="B62" s="11" t="s">
        <v>1100</v>
      </c>
      <c r="C62" s="11" t="s">
        <v>974</v>
      </c>
      <c r="D62" s="11" t="s">
        <v>1150</v>
      </c>
      <c r="E62" s="11" t="s">
        <v>1151</v>
      </c>
      <c r="F62" s="11" t="s">
        <v>1152</v>
      </c>
      <c r="G62" s="11" t="s">
        <v>977</v>
      </c>
      <c r="H62" s="11" t="s">
        <v>987</v>
      </c>
      <c r="I62" s="13"/>
      <c r="J62" s="13"/>
      <c r="K62" s="11" t="s">
        <v>1031</v>
      </c>
      <c r="L62" s="12" t="s">
        <v>42</v>
      </c>
      <c r="M62" s="11" t="s">
        <v>1032</v>
      </c>
      <c r="N62" s="11"/>
      <c r="O62" s="11"/>
    </row>
    <row r="63" customFormat="false" ht="35.05" hidden="false" customHeight="false" outlineLevel="0" collapsed="false">
      <c r="A63" s="11"/>
      <c r="B63" s="11" t="s">
        <v>1100</v>
      </c>
      <c r="C63" s="11" t="s">
        <v>974</v>
      </c>
      <c r="D63" s="11" t="s">
        <v>1153</v>
      </c>
      <c r="E63" s="11" t="s">
        <v>1154</v>
      </c>
      <c r="F63" s="11" t="s">
        <v>1008</v>
      </c>
      <c r="G63" s="11" t="s">
        <v>977</v>
      </c>
      <c r="H63" s="11" t="s">
        <v>987</v>
      </c>
      <c r="I63" s="13"/>
      <c r="J63" s="13"/>
      <c r="K63" s="11" t="s">
        <v>979</v>
      </c>
      <c r="L63" s="12" t="s">
        <v>42</v>
      </c>
      <c r="M63" s="11"/>
      <c r="N63" s="11"/>
      <c r="O63" s="11"/>
    </row>
    <row r="64" customFormat="false" ht="46.25" hidden="false" customHeight="false" outlineLevel="0" collapsed="false">
      <c r="A64" s="11"/>
      <c r="B64" s="11" t="s">
        <v>1100</v>
      </c>
      <c r="C64" s="11" t="s">
        <v>974</v>
      </c>
      <c r="D64" s="11" t="s">
        <v>1155</v>
      </c>
      <c r="E64" s="11" t="s">
        <v>1156</v>
      </c>
      <c r="F64" s="11" t="s">
        <v>1157</v>
      </c>
      <c r="G64" s="11" t="s">
        <v>977</v>
      </c>
      <c r="H64" s="11" t="s">
        <v>978</v>
      </c>
      <c r="I64" s="13"/>
      <c r="J64" s="13"/>
      <c r="K64" s="11" t="s">
        <v>979</v>
      </c>
      <c r="L64" s="12" t="s">
        <v>42</v>
      </c>
      <c r="M64" s="11"/>
      <c r="N64" s="11"/>
      <c r="O64" s="11"/>
    </row>
    <row r="65" customFormat="false" ht="15" hidden="false" customHeight="false" outlineLevel="0" collapsed="false">
      <c r="A65" s="11"/>
      <c r="B65" s="11" t="s">
        <v>1100</v>
      </c>
      <c r="C65" s="11" t="s">
        <v>974</v>
      </c>
      <c r="D65" s="11" t="s">
        <v>1158</v>
      </c>
      <c r="E65" s="11" t="s">
        <v>1159</v>
      </c>
      <c r="F65" s="11" t="s">
        <v>1103</v>
      </c>
      <c r="G65" s="11" t="s">
        <v>977</v>
      </c>
      <c r="H65" s="11" t="s">
        <v>983</v>
      </c>
      <c r="I65" s="13"/>
      <c r="J65" s="13"/>
      <c r="K65" s="11" t="s">
        <v>979</v>
      </c>
      <c r="L65" s="12" t="s">
        <v>42</v>
      </c>
      <c r="M65" s="11"/>
      <c r="N65" s="11"/>
      <c r="O65" s="11"/>
    </row>
    <row r="66" customFormat="false" ht="23.85" hidden="false" customHeight="false" outlineLevel="0" collapsed="false">
      <c r="A66" s="11"/>
      <c r="B66" s="11" t="s">
        <v>1100</v>
      </c>
      <c r="C66" s="11" t="s">
        <v>974</v>
      </c>
      <c r="D66" s="11" t="s">
        <v>1160</v>
      </c>
      <c r="E66" s="11" t="s">
        <v>1161</v>
      </c>
      <c r="F66" s="11" t="s">
        <v>1162</v>
      </c>
      <c r="G66" s="11" t="s">
        <v>977</v>
      </c>
      <c r="H66" s="11" t="s">
        <v>987</v>
      </c>
      <c r="I66" s="13"/>
      <c r="J66" s="13"/>
      <c r="K66" s="11" t="s">
        <v>979</v>
      </c>
      <c r="L66" s="12" t="s">
        <v>42</v>
      </c>
      <c r="M66" s="11"/>
      <c r="N66" s="11"/>
      <c r="O66" s="11"/>
    </row>
    <row r="67" customFormat="false" ht="15" hidden="false" customHeight="false" outlineLevel="0" collapsed="false">
      <c r="A67" s="11"/>
      <c r="B67" s="11" t="s">
        <v>1100</v>
      </c>
      <c r="C67" s="11" t="s">
        <v>974</v>
      </c>
      <c r="D67" s="11" t="s">
        <v>1163</v>
      </c>
      <c r="E67" s="11" t="s">
        <v>977</v>
      </c>
      <c r="F67" s="11" t="s">
        <v>1164</v>
      </c>
      <c r="G67" s="11" t="s">
        <v>977</v>
      </c>
      <c r="H67" s="11" t="s">
        <v>1165</v>
      </c>
      <c r="I67" s="13"/>
      <c r="J67" s="13"/>
      <c r="K67" s="11" t="s">
        <v>979</v>
      </c>
      <c r="L67" s="12" t="s">
        <v>42</v>
      </c>
      <c r="M67" s="11"/>
      <c r="N67" s="11"/>
      <c r="O67" s="11"/>
    </row>
    <row r="68" customFormat="false" ht="46.25" hidden="false" customHeight="false" outlineLevel="0" collapsed="false">
      <c r="A68" s="11"/>
      <c r="B68" s="11" t="s">
        <v>1100</v>
      </c>
      <c r="C68" s="11" t="s">
        <v>974</v>
      </c>
      <c r="D68" s="11" t="s">
        <v>1166</v>
      </c>
      <c r="E68" s="11" t="s">
        <v>1167</v>
      </c>
      <c r="F68" s="11" t="s">
        <v>1168</v>
      </c>
      <c r="G68" s="11" t="s">
        <v>977</v>
      </c>
      <c r="H68" s="11" t="s">
        <v>978</v>
      </c>
      <c r="I68" s="13"/>
      <c r="J68" s="13"/>
      <c r="K68" s="11" t="s">
        <v>979</v>
      </c>
      <c r="L68" s="12" t="s">
        <v>42</v>
      </c>
      <c r="M68" s="11"/>
      <c r="N68" s="11"/>
      <c r="O68" s="11"/>
    </row>
    <row r="69" customFormat="false" ht="23.85" hidden="false" customHeight="false" outlineLevel="0" collapsed="false">
      <c r="A69" s="11"/>
      <c r="B69" s="11" t="s">
        <v>1100</v>
      </c>
      <c r="C69" s="11" t="s">
        <v>974</v>
      </c>
      <c r="D69" s="11" t="s">
        <v>1169</v>
      </c>
      <c r="E69" s="11" t="s">
        <v>1170</v>
      </c>
      <c r="F69" s="11" t="s">
        <v>1171</v>
      </c>
      <c r="G69" s="11" t="s">
        <v>977</v>
      </c>
      <c r="H69" s="11" t="s">
        <v>987</v>
      </c>
      <c r="I69" s="13"/>
      <c r="J69" s="13"/>
      <c r="K69" s="11" t="s">
        <v>979</v>
      </c>
      <c r="L69" s="12" t="s">
        <v>42</v>
      </c>
      <c r="M69" s="11"/>
      <c r="N69" s="11"/>
      <c r="O69" s="11"/>
    </row>
    <row r="70" customFormat="false" ht="35.05" hidden="false" customHeight="false" outlineLevel="0" collapsed="false">
      <c r="A70" s="11"/>
      <c r="B70" s="11" t="s">
        <v>1100</v>
      </c>
      <c r="C70" s="11" t="s">
        <v>974</v>
      </c>
      <c r="D70" s="11" t="s">
        <v>1172</v>
      </c>
      <c r="E70" s="11" t="s">
        <v>1173</v>
      </c>
      <c r="F70" s="11" t="s">
        <v>1174</v>
      </c>
      <c r="G70" s="11" t="s">
        <v>977</v>
      </c>
      <c r="H70" s="11" t="s">
        <v>1165</v>
      </c>
      <c r="I70" s="13"/>
      <c r="J70" s="13"/>
      <c r="K70" s="11" t="s">
        <v>979</v>
      </c>
      <c r="L70" s="12" t="s">
        <v>42</v>
      </c>
      <c r="M70" s="11"/>
      <c r="N70" s="11"/>
      <c r="O70" s="11"/>
    </row>
    <row r="71" customFormat="false" ht="15" hidden="false" customHeight="false" outlineLevel="0" collapsed="false">
      <c r="A71" s="11"/>
      <c r="B71" s="11" t="s">
        <v>1100</v>
      </c>
      <c r="C71" s="11" t="s">
        <v>974</v>
      </c>
      <c r="D71" s="11" t="s">
        <v>1175</v>
      </c>
      <c r="E71" s="11" t="s">
        <v>1176</v>
      </c>
      <c r="F71" s="11" t="s">
        <v>1177</v>
      </c>
      <c r="G71" s="11" t="s">
        <v>977</v>
      </c>
      <c r="H71" s="11" t="s">
        <v>987</v>
      </c>
      <c r="I71" s="13"/>
      <c r="J71" s="13"/>
      <c r="K71" s="11" t="s">
        <v>979</v>
      </c>
      <c r="L71" s="12" t="s">
        <v>42</v>
      </c>
      <c r="M71" s="11"/>
      <c r="N71" s="11"/>
      <c r="O71" s="11"/>
    </row>
    <row r="72" customFormat="false" ht="15" hidden="false" customHeight="false" outlineLevel="0" collapsed="false">
      <c r="A72" s="11"/>
      <c r="B72" s="11" t="s">
        <v>1100</v>
      </c>
      <c r="C72" s="11" t="s">
        <v>974</v>
      </c>
      <c r="D72" s="11" t="s">
        <v>1178</v>
      </c>
      <c r="E72" s="11" t="s">
        <v>1179</v>
      </c>
      <c r="F72" s="11" t="s">
        <v>1157</v>
      </c>
      <c r="G72" s="11" t="s">
        <v>977</v>
      </c>
      <c r="H72" s="11" t="s">
        <v>978</v>
      </c>
      <c r="I72" s="13"/>
      <c r="J72" s="13"/>
      <c r="K72" s="11" t="s">
        <v>979</v>
      </c>
      <c r="L72" s="12" t="s">
        <v>42</v>
      </c>
      <c r="M72" s="11"/>
      <c r="N72" s="11"/>
      <c r="O72" s="11"/>
    </row>
    <row r="73" customFormat="false" ht="15" hidden="false" customHeight="false" outlineLevel="0" collapsed="false">
      <c r="A73" s="11"/>
      <c r="B73" s="11" t="s">
        <v>1100</v>
      </c>
      <c r="C73" s="11" t="s">
        <v>974</v>
      </c>
      <c r="D73" s="11" t="s">
        <v>1180</v>
      </c>
      <c r="E73" s="11" t="s">
        <v>1181</v>
      </c>
      <c r="F73" s="11" t="s">
        <v>1157</v>
      </c>
      <c r="G73" s="11" t="s">
        <v>977</v>
      </c>
      <c r="H73" s="11" t="s">
        <v>978</v>
      </c>
      <c r="I73" s="13"/>
      <c r="J73" s="13"/>
      <c r="K73" s="11" t="s">
        <v>979</v>
      </c>
      <c r="L73" s="12" t="s">
        <v>42</v>
      </c>
      <c r="M73" s="11"/>
      <c r="N73" s="11"/>
      <c r="O73" s="11"/>
    </row>
    <row r="74" customFormat="false" ht="23.85" hidden="false" customHeight="false" outlineLevel="0" collapsed="false">
      <c r="A74" s="11"/>
      <c r="B74" s="11" t="s">
        <v>1100</v>
      </c>
      <c r="C74" s="11" t="s">
        <v>974</v>
      </c>
      <c r="D74" s="11" t="s">
        <v>1182</v>
      </c>
      <c r="E74" s="11" t="s">
        <v>1183</v>
      </c>
      <c r="F74" s="11" t="s">
        <v>1184</v>
      </c>
      <c r="G74" s="11" t="s">
        <v>977</v>
      </c>
      <c r="H74" s="11" t="s">
        <v>987</v>
      </c>
      <c r="I74" s="13"/>
      <c r="J74" s="13"/>
      <c r="K74" s="11" t="s">
        <v>979</v>
      </c>
      <c r="L74" s="12" t="s">
        <v>42</v>
      </c>
      <c r="M74" s="11"/>
      <c r="N74" s="11"/>
      <c r="O74" s="11"/>
    </row>
    <row r="75" customFormat="false" ht="23.85" hidden="false" customHeight="false" outlineLevel="0" collapsed="false">
      <c r="A75" s="11"/>
      <c r="B75" s="11" t="s">
        <v>1100</v>
      </c>
      <c r="C75" s="11" t="s">
        <v>974</v>
      </c>
      <c r="D75" s="11" t="s">
        <v>1185</v>
      </c>
      <c r="E75" s="11" t="s">
        <v>1186</v>
      </c>
      <c r="F75" s="11" t="s">
        <v>1187</v>
      </c>
      <c r="G75" s="11" t="s">
        <v>977</v>
      </c>
      <c r="H75" s="11" t="s">
        <v>987</v>
      </c>
      <c r="I75" s="13"/>
      <c r="J75" s="13"/>
      <c r="K75" s="11" t="s">
        <v>1031</v>
      </c>
      <c r="L75" s="12" t="s">
        <v>42</v>
      </c>
      <c r="M75" s="11" t="s">
        <v>1032</v>
      </c>
      <c r="N75" s="11"/>
      <c r="O75" s="11"/>
    </row>
    <row r="76" customFormat="false" ht="35.05" hidden="false" customHeight="false" outlineLevel="0" collapsed="false">
      <c r="A76" s="11"/>
      <c r="B76" s="11" t="s">
        <v>1100</v>
      </c>
      <c r="C76" s="11" t="s">
        <v>974</v>
      </c>
      <c r="D76" s="11" t="s">
        <v>1188</v>
      </c>
      <c r="E76" s="11" t="s">
        <v>1189</v>
      </c>
      <c r="F76" s="11" t="s">
        <v>1190</v>
      </c>
      <c r="G76" s="11" t="s">
        <v>977</v>
      </c>
      <c r="H76" s="11" t="s">
        <v>987</v>
      </c>
      <c r="I76" s="13"/>
      <c r="J76" s="13"/>
      <c r="K76" s="11" t="s">
        <v>1031</v>
      </c>
      <c r="L76" s="12" t="s">
        <v>42</v>
      </c>
      <c r="M76" s="11" t="s">
        <v>1032</v>
      </c>
      <c r="N76" s="11"/>
      <c r="O76" s="11"/>
    </row>
    <row r="77" customFormat="false" ht="57.45" hidden="false" customHeight="false" outlineLevel="0" collapsed="false">
      <c r="A77" s="11"/>
      <c r="B77" s="11" t="s">
        <v>1100</v>
      </c>
      <c r="C77" s="11" t="s">
        <v>974</v>
      </c>
      <c r="D77" s="11" t="s">
        <v>1191</v>
      </c>
      <c r="E77" s="11" t="s">
        <v>1192</v>
      </c>
      <c r="F77" s="11" t="s">
        <v>1157</v>
      </c>
      <c r="G77" s="11" t="s">
        <v>977</v>
      </c>
      <c r="H77" s="11" t="s">
        <v>978</v>
      </c>
      <c r="I77" s="13"/>
      <c r="J77" s="13"/>
      <c r="K77" s="11" t="s">
        <v>979</v>
      </c>
      <c r="L77" s="12" t="s">
        <v>42</v>
      </c>
      <c r="M77" s="11"/>
      <c r="N77" s="11"/>
      <c r="O77" s="11"/>
    </row>
    <row r="78" customFormat="false" ht="135.8" hidden="false" customHeight="false" outlineLevel="0" collapsed="false">
      <c r="A78" s="11"/>
      <c r="B78" s="11" t="s">
        <v>1100</v>
      </c>
      <c r="C78" s="11" t="s">
        <v>974</v>
      </c>
      <c r="D78" s="11" t="s">
        <v>1193</v>
      </c>
      <c r="E78" s="11" t="s">
        <v>1194</v>
      </c>
      <c r="F78" s="11" t="s">
        <v>1195</v>
      </c>
      <c r="G78" s="11" t="s">
        <v>977</v>
      </c>
      <c r="H78" s="11" t="s">
        <v>987</v>
      </c>
      <c r="I78" s="13"/>
      <c r="J78" s="13"/>
      <c r="K78" s="11" t="s">
        <v>1031</v>
      </c>
      <c r="L78" s="12" t="s">
        <v>42</v>
      </c>
      <c r="M78" s="11" t="s">
        <v>1032</v>
      </c>
      <c r="N78" s="11"/>
      <c r="O78" s="11"/>
    </row>
    <row r="79" customFormat="false" ht="15" hidden="false" customHeight="false" outlineLevel="0" collapsed="false">
      <c r="A79" s="11"/>
      <c r="B79" s="11" t="s">
        <v>1100</v>
      </c>
      <c r="C79" s="11" t="s">
        <v>974</v>
      </c>
      <c r="D79" s="11" t="s">
        <v>1196</v>
      </c>
      <c r="E79" s="11" t="s">
        <v>1197</v>
      </c>
      <c r="F79" s="11" t="s">
        <v>1198</v>
      </c>
      <c r="G79" s="11" t="s">
        <v>977</v>
      </c>
      <c r="H79" s="11" t="s">
        <v>987</v>
      </c>
      <c r="I79" s="13"/>
      <c r="J79" s="13"/>
      <c r="K79" s="11" t="s">
        <v>979</v>
      </c>
      <c r="L79" s="12" t="s">
        <v>42</v>
      </c>
      <c r="M79" s="11"/>
      <c r="N79" s="11"/>
      <c r="O79" s="11"/>
    </row>
    <row r="80" customFormat="false" ht="23.85" hidden="false" customHeight="false" outlineLevel="0" collapsed="false">
      <c r="A80" s="11"/>
      <c r="B80" s="11" t="s">
        <v>1100</v>
      </c>
      <c r="C80" s="11" t="s">
        <v>974</v>
      </c>
      <c r="D80" s="11" t="s">
        <v>1199</v>
      </c>
      <c r="E80" s="11" t="s">
        <v>1200</v>
      </c>
      <c r="F80" s="11" t="s">
        <v>1103</v>
      </c>
      <c r="G80" s="11" t="s">
        <v>977</v>
      </c>
      <c r="H80" s="11" t="s">
        <v>983</v>
      </c>
      <c r="I80" s="13"/>
      <c r="J80" s="13"/>
      <c r="K80" s="11" t="s">
        <v>979</v>
      </c>
      <c r="L80" s="12" t="s">
        <v>42</v>
      </c>
      <c r="M80" s="11"/>
      <c r="N80" s="11"/>
      <c r="O80" s="11"/>
    </row>
    <row r="81" customFormat="false" ht="15" hidden="false" customHeight="false" outlineLevel="0" collapsed="false">
      <c r="A81" s="11"/>
      <c r="B81" s="11" t="s">
        <v>1201</v>
      </c>
      <c r="C81" s="11" t="s">
        <v>974</v>
      </c>
      <c r="D81" s="11" t="s">
        <v>1202</v>
      </c>
      <c r="E81" s="11" t="s">
        <v>1203</v>
      </c>
      <c r="F81" s="11" t="s">
        <v>1204</v>
      </c>
      <c r="G81" s="11" t="s">
        <v>977</v>
      </c>
      <c r="H81" s="11" t="s">
        <v>987</v>
      </c>
      <c r="I81" s="13"/>
      <c r="J81" s="13"/>
      <c r="K81" s="11" t="s">
        <v>979</v>
      </c>
      <c r="L81" s="12" t="s">
        <v>42</v>
      </c>
      <c r="M81" s="11"/>
      <c r="N81" s="11"/>
      <c r="O81" s="11"/>
    </row>
    <row r="82" customFormat="false" ht="15" hidden="false" customHeight="false" outlineLevel="0" collapsed="false">
      <c r="A82" s="11"/>
      <c r="B82" s="11" t="s">
        <v>1201</v>
      </c>
      <c r="C82" s="11" t="s">
        <v>974</v>
      </c>
      <c r="D82" s="11" t="s">
        <v>1205</v>
      </c>
      <c r="E82" s="11" t="s">
        <v>1206</v>
      </c>
      <c r="F82" s="11" t="s">
        <v>1204</v>
      </c>
      <c r="G82" s="11" t="s">
        <v>977</v>
      </c>
      <c r="H82" s="11" t="s">
        <v>987</v>
      </c>
      <c r="I82" s="13"/>
      <c r="J82" s="13"/>
      <c r="K82" s="11" t="s">
        <v>979</v>
      </c>
      <c r="L82" s="12" t="s">
        <v>42</v>
      </c>
      <c r="M82" s="11"/>
      <c r="N82" s="11"/>
      <c r="O82" s="11"/>
    </row>
    <row r="83" customFormat="false" ht="15" hidden="false" customHeight="false" outlineLevel="0" collapsed="false">
      <c r="A83" s="11"/>
      <c r="B83" s="11" t="s">
        <v>1201</v>
      </c>
      <c r="C83" s="11" t="s">
        <v>974</v>
      </c>
      <c r="D83" s="11" t="s">
        <v>1207</v>
      </c>
      <c r="E83" s="11" t="s">
        <v>1208</v>
      </c>
      <c r="F83" s="11" t="s">
        <v>1209</v>
      </c>
      <c r="G83" s="11" t="s">
        <v>977</v>
      </c>
      <c r="H83" s="11" t="s">
        <v>978</v>
      </c>
      <c r="I83" s="13"/>
      <c r="J83" s="13"/>
      <c r="K83" s="11" t="s">
        <v>979</v>
      </c>
      <c r="L83" s="12" t="s">
        <v>42</v>
      </c>
      <c r="M83" s="11"/>
      <c r="N83" s="11"/>
      <c r="O83" s="11"/>
    </row>
    <row r="84" customFormat="false" ht="46.25" hidden="false" customHeight="false" outlineLevel="0" collapsed="false">
      <c r="A84" s="11"/>
      <c r="B84" s="11" t="s">
        <v>1201</v>
      </c>
      <c r="C84" s="11" t="s">
        <v>974</v>
      </c>
      <c r="D84" s="11" t="s">
        <v>1210</v>
      </c>
      <c r="E84" s="11" t="s">
        <v>1211</v>
      </c>
      <c r="F84" s="11" t="s">
        <v>1212</v>
      </c>
      <c r="G84" s="11" t="s">
        <v>977</v>
      </c>
      <c r="H84" s="11" t="s">
        <v>983</v>
      </c>
      <c r="I84" s="13"/>
      <c r="J84" s="13"/>
      <c r="K84" s="11" t="s">
        <v>979</v>
      </c>
      <c r="L84" s="12" t="s">
        <v>42</v>
      </c>
      <c r="M84" s="11"/>
      <c r="N84" s="11"/>
      <c r="O84" s="11"/>
    </row>
    <row r="85" customFormat="false" ht="15" hidden="false" customHeight="false" outlineLevel="0" collapsed="false">
      <c r="A85" s="11"/>
      <c r="B85" s="11" t="s">
        <v>1201</v>
      </c>
      <c r="C85" s="11" t="s">
        <v>974</v>
      </c>
      <c r="D85" s="11" t="s">
        <v>1213</v>
      </c>
      <c r="E85" s="11" t="s">
        <v>1214</v>
      </c>
      <c r="F85" s="11" t="s">
        <v>1215</v>
      </c>
      <c r="G85" s="11" t="s">
        <v>977</v>
      </c>
      <c r="H85" s="11" t="s">
        <v>987</v>
      </c>
      <c r="I85" s="13"/>
      <c r="J85" s="13"/>
      <c r="K85" s="11" t="s">
        <v>979</v>
      </c>
      <c r="L85" s="12" t="s">
        <v>42</v>
      </c>
      <c r="M85" s="11"/>
      <c r="N85" s="11"/>
      <c r="O85" s="11"/>
    </row>
    <row r="86" customFormat="false" ht="35.05" hidden="false" customHeight="false" outlineLevel="0" collapsed="false">
      <c r="A86" s="11"/>
      <c r="B86" s="11" t="s">
        <v>1201</v>
      </c>
      <c r="C86" s="11" t="s">
        <v>1009</v>
      </c>
      <c r="D86" s="11" t="s">
        <v>1216</v>
      </c>
      <c r="E86" s="11" t="s">
        <v>1217</v>
      </c>
      <c r="F86" s="11" t="s">
        <v>1218</v>
      </c>
      <c r="G86" s="11" t="s">
        <v>977</v>
      </c>
      <c r="H86" s="11" t="s">
        <v>987</v>
      </c>
      <c r="I86" s="13"/>
      <c r="J86" s="13"/>
      <c r="K86" s="11" t="s">
        <v>979</v>
      </c>
      <c r="L86" s="12" t="s">
        <v>42</v>
      </c>
      <c r="M86" s="11"/>
      <c r="N86" s="11"/>
      <c r="O86" s="11"/>
    </row>
    <row r="87" customFormat="false" ht="23.85" hidden="false" customHeight="false" outlineLevel="0" collapsed="false">
      <c r="A87" s="11"/>
      <c r="B87" s="11" t="s">
        <v>1201</v>
      </c>
      <c r="C87" s="11" t="s">
        <v>1009</v>
      </c>
      <c r="D87" s="11" t="s">
        <v>1219</v>
      </c>
      <c r="E87" s="11" t="s">
        <v>1220</v>
      </c>
      <c r="F87" s="11" t="s">
        <v>1221</v>
      </c>
      <c r="G87" s="11" t="s">
        <v>977</v>
      </c>
      <c r="H87" s="11" t="s">
        <v>1222</v>
      </c>
      <c r="I87" s="13"/>
      <c r="J87" s="13"/>
      <c r="K87" s="11" t="s">
        <v>979</v>
      </c>
      <c r="L87" s="12" t="s">
        <v>42</v>
      </c>
      <c r="M87" s="11"/>
      <c r="N87" s="11"/>
      <c r="O87" s="11"/>
    </row>
    <row r="88" customFormat="false" ht="23.85" hidden="false" customHeight="false" outlineLevel="0" collapsed="false">
      <c r="A88" s="11"/>
      <c r="B88" s="11" t="s">
        <v>1201</v>
      </c>
      <c r="C88" s="11" t="s">
        <v>1009</v>
      </c>
      <c r="D88" s="11" t="s">
        <v>1223</v>
      </c>
      <c r="E88" s="11" t="s">
        <v>1224</v>
      </c>
      <c r="F88" s="11" t="s">
        <v>1221</v>
      </c>
      <c r="G88" s="11" t="s">
        <v>977</v>
      </c>
      <c r="H88" s="11" t="s">
        <v>1222</v>
      </c>
      <c r="I88" s="13"/>
      <c r="J88" s="13"/>
      <c r="K88" s="11" t="s">
        <v>979</v>
      </c>
      <c r="L88" s="12" t="s">
        <v>42</v>
      </c>
      <c r="M88" s="11"/>
      <c r="N88" s="11"/>
      <c r="O88" s="11"/>
    </row>
    <row r="89" customFormat="false" ht="35.05" hidden="false" customHeight="false" outlineLevel="0" collapsed="false">
      <c r="A89" s="11"/>
      <c r="B89" s="11" t="s">
        <v>1201</v>
      </c>
      <c r="C89" s="11" t="s">
        <v>1009</v>
      </c>
      <c r="D89" s="11" t="s">
        <v>1225</v>
      </c>
      <c r="E89" s="11" t="s">
        <v>1226</v>
      </c>
      <c r="F89" s="11" t="s">
        <v>1227</v>
      </c>
      <c r="G89" s="11" t="s">
        <v>977</v>
      </c>
      <c r="H89" s="11" t="s">
        <v>983</v>
      </c>
      <c r="I89" s="13"/>
      <c r="J89" s="13"/>
      <c r="K89" s="11" t="s">
        <v>979</v>
      </c>
      <c r="L89" s="12" t="s">
        <v>42</v>
      </c>
      <c r="M89" s="11"/>
      <c r="N89" s="11"/>
      <c r="O89" s="11"/>
    </row>
    <row r="90" customFormat="false" ht="35.05" hidden="false" customHeight="false" outlineLevel="0" collapsed="false">
      <c r="A90" s="11"/>
      <c r="B90" s="11" t="s">
        <v>1201</v>
      </c>
      <c r="C90" s="11" t="s">
        <v>1009</v>
      </c>
      <c r="D90" s="11" t="s">
        <v>1228</v>
      </c>
      <c r="E90" s="11" t="s">
        <v>1229</v>
      </c>
      <c r="F90" s="11" t="s">
        <v>1230</v>
      </c>
      <c r="G90" s="11" t="s">
        <v>977</v>
      </c>
      <c r="H90" s="11" t="s">
        <v>987</v>
      </c>
      <c r="I90" s="13"/>
      <c r="J90" s="13"/>
      <c r="K90" s="11" t="s">
        <v>979</v>
      </c>
      <c r="L90" s="12" t="s">
        <v>42</v>
      </c>
      <c r="M90" s="11"/>
      <c r="N90" s="11"/>
      <c r="O90" s="11"/>
    </row>
    <row r="91" customFormat="false" ht="15" hidden="false" customHeight="false" outlineLevel="0" collapsed="false">
      <c r="A91" s="11"/>
      <c r="B91" s="11" t="s">
        <v>1201</v>
      </c>
      <c r="C91" s="11" t="s">
        <v>1009</v>
      </c>
      <c r="D91" s="11" t="s">
        <v>1231</v>
      </c>
      <c r="E91" s="11" t="s">
        <v>1232</v>
      </c>
      <c r="F91" s="11" t="s">
        <v>1204</v>
      </c>
      <c r="G91" s="11" t="s">
        <v>977</v>
      </c>
      <c r="H91" s="11" t="s">
        <v>987</v>
      </c>
      <c r="I91" s="13"/>
      <c r="J91" s="13"/>
      <c r="K91" s="11" t="s">
        <v>979</v>
      </c>
      <c r="L91" s="12" t="s">
        <v>42</v>
      </c>
      <c r="M91" s="11"/>
      <c r="N91" s="11"/>
      <c r="O91" s="11"/>
    </row>
    <row r="92" customFormat="false" ht="35.05" hidden="false" customHeight="false" outlineLevel="0" collapsed="false">
      <c r="A92" s="11"/>
      <c r="B92" s="11" t="s">
        <v>1233</v>
      </c>
      <c r="C92" s="11" t="s">
        <v>974</v>
      </c>
      <c r="D92" s="11" t="s">
        <v>1234</v>
      </c>
      <c r="E92" s="11" t="s">
        <v>1235</v>
      </c>
      <c r="F92" s="11" t="s">
        <v>1236</v>
      </c>
      <c r="G92" s="11" t="s">
        <v>977</v>
      </c>
      <c r="H92" s="11" t="s">
        <v>983</v>
      </c>
      <c r="I92" s="13"/>
      <c r="J92" s="13"/>
      <c r="K92" s="11" t="s">
        <v>979</v>
      </c>
      <c r="L92" s="12" t="s">
        <v>42</v>
      </c>
      <c r="M92" s="11"/>
      <c r="N92" s="11"/>
      <c r="O92" s="11"/>
    </row>
    <row r="93" customFormat="false" ht="35.05" hidden="false" customHeight="false" outlineLevel="0" collapsed="false">
      <c r="A93" s="11"/>
      <c r="B93" s="11" t="s">
        <v>1233</v>
      </c>
      <c r="C93" s="11" t="s">
        <v>974</v>
      </c>
      <c r="D93" s="11" t="s">
        <v>1237</v>
      </c>
      <c r="E93" s="11" t="s">
        <v>1238</v>
      </c>
      <c r="F93" s="11" t="s">
        <v>1239</v>
      </c>
      <c r="G93" s="11" t="s">
        <v>977</v>
      </c>
      <c r="H93" s="11" t="s">
        <v>983</v>
      </c>
      <c r="I93" s="13"/>
      <c r="J93" s="13"/>
      <c r="K93" s="11" t="s">
        <v>979</v>
      </c>
      <c r="L93" s="12" t="s">
        <v>42</v>
      </c>
      <c r="M93" s="11"/>
      <c r="N93" s="11"/>
      <c r="O93" s="11"/>
    </row>
    <row r="94" customFormat="false" ht="35.05" hidden="false" customHeight="false" outlineLevel="0" collapsed="false">
      <c r="A94" s="11"/>
      <c r="B94" s="11" t="s">
        <v>1233</v>
      </c>
      <c r="C94" s="11" t="s">
        <v>974</v>
      </c>
      <c r="D94" s="11" t="s">
        <v>1240</v>
      </c>
      <c r="E94" s="11" t="s">
        <v>1241</v>
      </c>
      <c r="F94" s="11" t="s">
        <v>1242</v>
      </c>
      <c r="G94" s="11" t="s">
        <v>977</v>
      </c>
      <c r="H94" s="11" t="s">
        <v>983</v>
      </c>
      <c r="I94" s="13"/>
      <c r="J94" s="13"/>
      <c r="K94" s="11" t="s">
        <v>979</v>
      </c>
      <c r="L94" s="12" t="s">
        <v>42</v>
      </c>
      <c r="M94" s="11"/>
      <c r="N94" s="11"/>
      <c r="O94" s="11"/>
    </row>
    <row r="95" customFormat="false" ht="15" hidden="false" customHeight="false" outlineLevel="0" collapsed="false">
      <c r="A95" s="11"/>
      <c r="B95" s="11" t="s">
        <v>1233</v>
      </c>
      <c r="C95" s="11" t="s">
        <v>974</v>
      </c>
      <c r="D95" s="11" t="s">
        <v>1243</v>
      </c>
      <c r="E95" s="11" t="s">
        <v>1244</v>
      </c>
      <c r="F95" s="11" t="s">
        <v>1174</v>
      </c>
      <c r="G95" s="11" t="s">
        <v>977</v>
      </c>
      <c r="H95" s="11" t="s">
        <v>983</v>
      </c>
      <c r="I95" s="13"/>
      <c r="J95" s="13"/>
      <c r="K95" s="11" t="s">
        <v>979</v>
      </c>
      <c r="L95" s="12" t="s">
        <v>42</v>
      </c>
      <c r="M95" s="11"/>
      <c r="N95" s="11"/>
      <c r="O95" s="11"/>
    </row>
    <row r="96" customFormat="false" ht="124.6" hidden="false" customHeight="false" outlineLevel="0" collapsed="false">
      <c r="A96" s="11"/>
      <c r="B96" s="11" t="s">
        <v>1233</v>
      </c>
      <c r="C96" s="11" t="s">
        <v>974</v>
      </c>
      <c r="D96" s="11" t="s">
        <v>1245</v>
      </c>
      <c r="E96" s="11" t="s">
        <v>1246</v>
      </c>
      <c r="F96" s="11" t="s">
        <v>1247</v>
      </c>
      <c r="G96" s="11" t="s">
        <v>977</v>
      </c>
      <c r="H96" s="11" t="s">
        <v>978</v>
      </c>
      <c r="I96" s="13"/>
      <c r="J96" s="13"/>
      <c r="K96" s="11" t="s">
        <v>1031</v>
      </c>
      <c r="L96" s="12" t="s">
        <v>42</v>
      </c>
      <c r="M96" s="11" t="s">
        <v>1248</v>
      </c>
      <c r="N96" s="11"/>
      <c r="O96" s="11"/>
    </row>
    <row r="97" customFormat="false" ht="15" hidden="false" customHeight="false" outlineLevel="0" collapsed="false">
      <c r="A97" s="11"/>
      <c r="B97" s="11" t="s">
        <v>1233</v>
      </c>
      <c r="C97" s="11" t="s">
        <v>974</v>
      </c>
      <c r="D97" s="11" t="s">
        <v>1249</v>
      </c>
      <c r="E97" s="11" t="s">
        <v>1250</v>
      </c>
      <c r="F97" s="11" t="s">
        <v>1251</v>
      </c>
      <c r="G97" s="11" t="s">
        <v>977</v>
      </c>
      <c r="H97" s="11" t="s">
        <v>983</v>
      </c>
      <c r="I97" s="13"/>
      <c r="J97" s="13"/>
      <c r="K97" s="11" t="s">
        <v>979</v>
      </c>
      <c r="L97" s="12" t="s">
        <v>42</v>
      </c>
      <c r="M97" s="11"/>
      <c r="N97" s="11"/>
      <c r="O97" s="11"/>
    </row>
    <row r="98" customFormat="false" ht="15" hidden="false" customHeight="false" outlineLevel="0" collapsed="false">
      <c r="A98" s="11"/>
      <c r="B98" s="11" t="s">
        <v>1233</v>
      </c>
      <c r="C98" s="11" t="s">
        <v>974</v>
      </c>
      <c r="D98" s="11" t="s">
        <v>1252</v>
      </c>
      <c r="E98" s="11" t="s">
        <v>1253</v>
      </c>
      <c r="F98" s="11" t="s">
        <v>1254</v>
      </c>
      <c r="G98" s="11" t="s">
        <v>977</v>
      </c>
      <c r="H98" s="11" t="s">
        <v>987</v>
      </c>
      <c r="I98" s="13"/>
      <c r="J98" s="13"/>
      <c r="K98" s="11" t="s">
        <v>979</v>
      </c>
      <c r="L98" s="12" t="s">
        <v>42</v>
      </c>
      <c r="M98" s="11"/>
      <c r="N98" s="11"/>
      <c r="O98" s="11"/>
    </row>
    <row r="99" customFormat="false" ht="15" hidden="false" customHeight="false" outlineLevel="0" collapsed="false">
      <c r="A99" s="11"/>
      <c r="B99" s="11" t="s">
        <v>1233</v>
      </c>
      <c r="C99" s="11" t="s">
        <v>974</v>
      </c>
      <c r="D99" s="11" t="s">
        <v>1255</v>
      </c>
      <c r="E99" s="11" t="s">
        <v>1256</v>
      </c>
      <c r="F99" s="11" t="s">
        <v>1257</v>
      </c>
      <c r="G99" s="11" t="s">
        <v>977</v>
      </c>
      <c r="H99" s="11" t="s">
        <v>978</v>
      </c>
      <c r="I99" s="13"/>
      <c r="J99" s="13"/>
      <c r="K99" s="11" t="s">
        <v>1031</v>
      </c>
      <c r="L99" s="12" t="s">
        <v>42</v>
      </c>
      <c r="M99" s="11" t="s">
        <v>1032</v>
      </c>
      <c r="N99" s="11"/>
      <c r="O99" s="11"/>
    </row>
    <row r="100" customFormat="false" ht="91" hidden="false" customHeight="false" outlineLevel="0" collapsed="false">
      <c r="A100" s="11"/>
      <c r="B100" s="11" t="s">
        <v>1233</v>
      </c>
      <c r="C100" s="11" t="s">
        <v>974</v>
      </c>
      <c r="D100" s="11" t="s">
        <v>1255</v>
      </c>
      <c r="E100" s="11" t="s">
        <v>1258</v>
      </c>
      <c r="F100" s="11" t="s">
        <v>1259</v>
      </c>
      <c r="G100" s="11" t="s">
        <v>977</v>
      </c>
      <c r="H100" s="11" t="s">
        <v>978</v>
      </c>
      <c r="I100" s="13"/>
      <c r="J100" s="13"/>
      <c r="K100" s="11" t="s">
        <v>1031</v>
      </c>
      <c r="L100" s="12" t="s">
        <v>42</v>
      </c>
      <c r="M100" s="11" t="s">
        <v>1032</v>
      </c>
      <c r="N100" s="11"/>
      <c r="O100" s="11"/>
    </row>
    <row r="101" customFormat="false" ht="46.25" hidden="false" customHeight="false" outlineLevel="0" collapsed="false">
      <c r="A101" s="11"/>
      <c r="B101" s="11" t="s">
        <v>1233</v>
      </c>
      <c r="C101" s="11" t="s">
        <v>974</v>
      </c>
      <c r="D101" s="11" t="s">
        <v>1255</v>
      </c>
      <c r="E101" s="11" t="s">
        <v>1260</v>
      </c>
      <c r="F101" s="11" t="s">
        <v>1261</v>
      </c>
      <c r="G101" s="11" t="s">
        <v>977</v>
      </c>
      <c r="H101" s="11" t="s">
        <v>978</v>
      </c>
      <c r="I101" s="13"/>
      <c r="J101" s="13"/>
      <c r="K101" s="11" t="s">
        <v>1031</v>
      </c>
      <c r="L101" s="12" t="s">
        <v>42</v>
      </c>
      <c r="M101" s="11" t="s">
        <v>1032</v>
      </c>
      <c r="N101" s="11"/>
      <c r="O101" s="11"/>
    </row>
    <row r="102" customFormat="false" ht="23.85" hidden="false" customHeight="false" outlineLevel="0" collapsed="false">
      <c r="A102" s="11"/>
      <c r="B102" s="11" t="s">
        <v>1233</v>
      </c>
      <c r="C102" s="11" t="s">
        <v>974</v>
      </c>
      <c r="D102" s="11" t="s">
        <v>1255</v>
      </c>
      <c r="E102" s="11" t="s">
        <v>1262</v>
      </c>
      <c r="F102" s="11" t="s">
        <v>1263</v>
      </c>
      <c r="G102" s="11" t="s">
        <v>977</v>
      </c>
      <c r="H102" s="11" t="s">
        <v>1165</v>
      </c>
      <c r="I102" s="13"/>
      <c r="J102" s="13"/>
      <c r="K102" s="11" t="s">
        <v>979</v>
      </c>
      <c r="L102" s="12" t="s">
        <v>42</v>
      </c>
      <c r="M102" s="11"/>
      <c r="N102" s="11"/>
      <c r="O102" s="11"/>
    </row>
    <row r="103" customFormat="false" ht="23.85" hidden="false" customHeight="false" outlineLevel="0" collapsed="false">
      <c r="A103" s="11"/>
      <c r="B103" s="11" t="s">
        <v>1233</v>
      </c>
      <c r="C103" s="11" t="s">
        <v>974</v>
      </c>
      <c r="D103" s="11" t="s">
        <v>1255</v>
      </c>
      <c r="E103" s="11" t="s">
        <v>1264</v>
      </c>
      <c r="F103" s="11"/>
      <c r="G103" s="11" t="s">
        <v>977</v>
      </c>
      <c r="H103" s="11" t="s">
        <v>983</v>
      </c>
      <c r="I103" s="13"/>
      <c r="J103" s="13"/>
      <c r="K103" s="11" t="s">
        <v>979</v>
      </c>
      <c r="L103" s="12" t="s">
        <v>42</v>
      </c>
      <c r="M103" s="11"/>
      <c r="N103" s="11"/>
      <c r="O103" s="11"/>
    </row>
    <row r="104" customFormat="false" ht="15" hidden="false" customHeight="false" outlineLevel="0" collapsed="false">
      <c r="A104" s="11"/>
      <c r="B104" s="11" t="s">
        <v>1233</v>
      </c>
      <c r="C104" s="11" t="s">
        <v>974</v>
      </c>
      <c r="D104" s="11" t="s">
        <v>1265</v>
      </c>
      <c r="E104" s="11" t="s">
        <v>1266</v>
      </c>
      <c r="F104" s="11" t="s">
        <v>1267</v>
      </c>
      <c r="G104" s="11" t="s">
        <v>977</v>
      </c>
      <c r="H104" s="11" t="s">
        <v>983</v>
      </c>
      <c r="I104" s="13"/>
      <c r="J104" s="13"/>
      <c r="K104" s="11" t="s">
        <v>979</v>
      </c>
      <c r="L104" s="12" t="s">
        <v>42</v>
      </c>
      <c r="M104" s="11"/>
      <c r="N104" s="11"/>
      <c r="O104" s="11"/>
    </row>
    <row r="105" customFormat="false" ht="15" hidden="false" customHeight="false" outlineLevel="0" collapsed="false">
      <c r="A105" s="11"/>
      <c r="B105" s="11" t="s">
        <v>1233</v>
      </c>
      <c r="C105" s="11" t="s">
        <v>974</v>
      </c>
      <c r="D105" s="11" t="s">
        <v>1268</v>
      </c>
      <c r="E105" s="11" t="s">
        <v>1269</v>
      </c>
      <c r="F105" s="11" t="s">
        <v>1270</v>
      </c>
      <c r="G105" s="11" t="s">
        <v>977</v>
      </c>
      <c r="H105" s="11" t="s">
        <v>983</v>
      </c>
      <c r="I105" s="13"/>
      <c r="J105" s="13"/>
      <c r="K105" s="11" t="s">
        <v>979</v>
      </c>
      <c r="L105" s="12" t="s">
        <v>42</v>
      </c>
      <c r="M105" s="11"/>
      <c r="N105" s="11"/>
      <c r="O105" s="11"/>
    </row>
    <row r="106" customFormat="false" ht="15" hidden="false" customHeight="false" outlineLevel="0" collapsed="false">
      <c r="A106" s="11"/>
      <c r="B106" s="11" t="s">
        <v>1233</v>
      </c>
      <c r="C106" s="11" t="s">
        <v>974</v>
      </c>
      <c r="D106" s="11" t="s">
        <v>1271</v>
      </c>
      <c r="E106" s="11" t="s">
        <v>1272</v>
      </c>
      <c r="F106" s="11" t="s">
        <v>977</v>
      </c>
      <c r="G106" s="11" t="s">
        <v>977</v>
      </c>
      <c r="H106" s="11" t="s">
        <v>983</v>
      </c>
      <c r="I106" s="13"/>
      <c r="J106" s="13"/>
      <c r="K106" s="11" t="s">
        <v>979</v>
      </c>
      <c r="L106" s="12" t="s">
        <v>42</v>
      </c>
      <c r="M106" s="11"/>
      <c r="N106" s="11"/>
      <c r="O106" s="11"/>
    </row>
    <row r="107" customFormat="false" ht="15" hidden="false" customHeight="false" outlineLevel="0" collapsed="false">
      <c r="A107" s="11"/>
      <c r="B107" s="11" t="s">
        <v>1233</v>
      </c>
      <c r="C107" s="11" t="s">
        <v>1009</v>
      </c>
      <c r="D107" s="11" t="s">
        <v>1273</v>
      </c>
      <c r="E107" s="11" t="s">
        <v>1274</v>
      </c>
      <c r="F107" s="11" t="s">
        <v>1275</v>
      </c>
      <c r="G107" s="11" t="s">
        <v>977</v>
      </c>
      <c r="H107" s="11" t="s">
        <v>978</v>
      </c>
      <c r="I107" s="13"/>
      <c r="J107" s="13"/>
      <c r="K107" s="11" t="s">
        <v>1031</v>
      </c>
      <c r="L107" s="12" t="s">
        <v>42</v>
      </c>
      <c r="M107" s="11" t="s">
        <v>1032</v>
      </c>
      <c r="N107" s="11"/>
      <c r="O107" s="11"/>
    </row>
    <row r="108" customFormat="false" ht="46.25" hidden="false" customHeight="false" outlineLevel="0" collapsed="false">
      <c r="A108" s="11"/>
      <c r="B108" s="11" t="s">
        <v>1233</v>
      </c>
      <c r="C108" s="11" t="s">
        <v>1009</v>
      </c>
      <c r="D108" s="11" t="s">
        <v>1276</v>
      </c>
      <c r="E108" s="11" t="s">
        <v>1277</v>
      </c>
      <c r="F108" s="11" t="s">
        <v>1278</v>
      </c>
      <c r="G108" s="11" t="s">
        <v>1279</v>
      </c>
      <c r="H108" s="11" t="s">
        <v>978</v>
      </c>
      <c r="I108" s="13"/>
      <c r="J108" s="13"/>
      <c r="K108" s="11" t="s">
        <v>979</v>
      </c>
      <c r="L108" s="12" t="s">
        <v>42</v>
      </c>
      <c r="M108" s="11"/>
      <c r="N108" s="11"/>
      <c r="O108" s="11"/>
    </row>
    <row r="109" customFormat="false" ht="102.2" hidden="false" customHeight="false" outlineLevel="0" collapsed="false">
      <c r="A109" s="11"/>
      <c r="B109" s="11" t="s">
        <v>1233</v>
      </c>
      <c r="C109" s="11" t="s">
        <v>1009</v>
      </c>
      <c r="D109" s="11" t="s">
        <v>1280</v>
      </c>
      <c r="E109" s="11" t="s">
        <v>1281</v>
      </c>
      <c r="F109" s="11" t="s">
        <v>1282</v>
      </c>
      <c r="G109" s="11" t="s">
        <v>1283</v>
      </c>
      <c r="H109" s="11" t="s">
        <v>978</v>
      </c>
      <c r="I109" s="13"/>
      <c r="J109" s="13"/>
      <c r="K109" s="11" t="s">
        <v>979</v>
      </c>
      <c r="L109" s="12" t="s">
        <v>42</v>
      </c>
      <c r="M109" s="11"/>
      <c r="N109" s="11"/>
      <c r="O109" s="11"/>
    </row>
    <row r="110" customFormat="false" ht="23.85" hidden="false" customHeight="false" outlineLevel="0" collapsed="false">
      <c r="A110" s="11"/>
      <c r="B110" s="11" t="s">
        <v>1233</v>
      </c>
      <c r="C110" s="11" t="s">
        <v>1009</v>
      </c>
      <c r="D110" s="11" t="s">
        <v>1284</v>
      </c>
      <c r="E110" s="11" t="s">
        <v>1285</v>
      </c>
      <c r="F110" s="11" t="s">
        <v>1286</v>
      </c>
      <c r="G110" s="11" t="s">
        <v>977</v>
      </c>
      <c r="H110" s="11" t="s">
        <v>983</v>
      </c>
      <c r="I110" s="13"/>
      <c r="J110" s="13"/>
      <c r="K110" s="11" t="s">
        <v>979</v>
      </c>
      <c r="L110" s="12" t="s">
        <v>42</v>
      </c>
      <c r="M110" s="11"/>
      <c r="N110" s="11"/>
      <c r="O110" s="11"/>
    </row>
    <row r="111" customFormat="false" ht="135.8" hidden="false" customHeight="false" outlineLevel="0" collapsed="false">
      <c r="A111" s="11"/>
      <c r="B111" s="11" t="s">
        <v>1233</v>
      </c>
      <c r="C111" s="11" t="s">
        <v>1009</v>
      </c>
      <c r="D111" s="11" t="s">
        <v>1287</v>
      </c>
      <c r="E111" s="11" t="s">
        <v>1288</v>
      </c>
      <c r="F111" s="11" t="s">
        <v>1289</v>
      </c>
      <c r="G111" s="11" t="s">
        <v>1290</v>
      </c>
      <c r="H111" s="11" t="s">
        <v>978</v>
      </c>
      <c r="I111" s="13"/>
      <c r="J111" s="13"/>
      <c r="K111" s="11" t="s">
        <v>979</v>
      </c>
      <c r="L111" s="12" t="s">
        <v>42</v>
      </c>
      <c r="M111" s="11"/>
      <c r="N111" s="11"/>
      <c r="O111" s="11"/>
    </row>
    <row r="112" customFormat="false" ht="292.5" hidden="false" customHeight="false" outlineLevel="0" collapsed="false">
      <c r="A112" s="11"/>
      <c r="B112" s="11" t="s">
        <v>1233</v>
      </c>
      <c r="C112" s="11" t="s">
        <v>1009</v>
      </c>
      <c r="D112" s="11" t="s">
        <v>1291</v>
      </c>
      <c r="E112" s="11" t="s">
        <v>1292</v>
      </c>
      <c r="F112" s="11" t="s">
        <v>1293</v>
      </c>
      <c r="G112" s="11" t="s">
        <v>1294</v>
      </c>
      <c r="H112" s="11" t="s">
        <v>978</v>
      </c>
      <c r="I112" s="13"/>
      <c r="J112" s="13"/>
      <c r="K112" s="11" t="s">
        <v>1031</v>
      </c>
      <c r="L112" s="12" t="s">
        <v>42</v>
      </c>
      <c r="M112" s="11" t="s">
        <v>1032</v>
      </c>
      <c r="N112" s="11"/>
      <c r="O112" s="11"/>
    </row>
    <row r="113" customFormat="false" ht="225.35" hidden="false" customHeight="false" outlineLevel="0" collapsed="false">
      <c r="A113" s="11"/>
      <c r="B113" s="11" t="s">
        <v>1233</v>
      </c>
      <c r="C113" s="11" t="s">
        <v>1009</v>
      </c>
      <c r="D113" s="11" t="s">
        <v>1295</v>
      </c>
      <c r="E113" s="11" t="s">
        <v>1296</v>
      </c>
      <c r="F113" s="11" t="s">
        <v>977</v>
      </c>
      <c r="G113" s="11" t="s">
        <v>977</v>
      </c>
      <c r="H113" s="11" t="s">
        <v>983</v>
      </c>
      <c r="I113" s="13"/>
      <c r="J113" s="13"/>
      <c r="K113" s="11" t="s">
        <v>979</v>
      </c>
      <c r="L113" s="12" t="s">
        <v>42</v>
      </c>
      <c r="M113" s="11"/>
      <c r="N113" s="11"/>
      <c r="O113" s="11"/>
    </row>
    <row r="114" customFormat="false" ht="23.85" hidden="false" customHeight="false" outlineLevel="0" collapsed="false">
      <c r="A114" s="11"/>
      <c r="B114" s="11" t="s">
        <v>1233</v>
      </c>
      <c r="C114" s="11" t="s">
        <v>1009</v>
      </c>
      <c r="D114" s="11" t="s">
        <v>1297</v>
      </c>
      <c r="E114" s="11" t="s">
        <v>1298</v>
      </c>
      <c r="F114" s="11" t="s">
        <v>1299</v>
      </c>
      <c r="G114" s="11" t="s">
        <v>1300</v>
      </c>
      <c r="H114" s="11" t="s">
        <v>978</v>
      </c>
      <c r="I114" s="13"/>
      <c r="J114" s="13"/>
      <c r="K114" s="11" t="s">
        <v>979</v>
      </c>
      <c r="L114" s="12" t="s">
        <v>42</v>
      </c>
      <c r="M114" s="11"/>
      <c r="N114" s="11"/>
      <c r="O114" s="11"/>
    </row>
    <row r="115" customFormat="false" ht="23.85" hidden="false" customHeight="false" outlineLevel="0" collapsed="false">
      <c r="A115" s="11"/>
      <c r="B115" s="11" t="s">
        <v>1233</v>
      </c>
      <c r="C115" s="11" t="s">
        <v>1009</v>
      </c>
      <c r="D115" s="11" t="s">
        <v>1301</v>
      </c>
      <c r="E115" s="11" t="s">
        <v>1302</v>
      </c>
      <c r="F115" s="11" t="s">
        <v>1303</v>
      </c>
      <c r="G115" s="11" t="s">
        <v>977</v>
      </c>
      <c r="H115" s="11" t="s">
        <v>987</v>
      </c>
      <c r="I115" s="13"/>
      <c r="J115" s="13"/>
      <c r="K115" s="11" t="s">
        <v>979</v>
      </c>
      <c r="L115" s="12" t="s">
        <v>42</v>
      </c>
      <c r="M115" s="11"/>
      <c r="N115" s="11"/>
      <c r="O115" s="11"/>
    </row>
    <row r="116" customFormat="false" ht="91" hidden="false" customHeight="false" outlineLevel="0" collapsed="false">
      <c r="A116" s="11"/>
      <c r="B116" s="11" t="s">
        <v>1233</v>
      </c>
      <c r="C116" s="11" t="s">
        <v>1009</v>
      </c>
      <c r="D116" s="11" t="s">
        <v>1304</v>
      </c>
      <c r="E116" s="11" t="s">
        <v>1305</v>
      </c>
      <c r="F116" s="11" t="s">
        <v>1306</v>
      </c>
      <c r="G116" s="11" t="s">
        <v>1307</v>
      </c>
      <c r="H116" s="11" t="s">
        <v>978</v>
      </c>
      <c r="I116" s="13"/>
      <c r="J116" s="13"/>
      <c r="K116" s="11" t="s">
        <v>979</v>
      </c>
      <c r="L116" s="12" t="s">
        <v>42</v>
      </c>
      <c r="M116" s="11"/>
      <c r="N116" s="11"/>
      <c r="O116" s="11"/>
    </row>
    <row r="117" customFormat="false" ht="124.6" hidden="false" customHeight="false" outlineLevel="0" collapsed="false">
      <c r="A117" s="11"/>
      <c r="B117" s="11" t="s">
        <v>1233</v>
      </c>
      <c r="C117" s="11" t="s">
        <v>1009</v>
      </c>
      <c r="D117" s="11" t="s">
        <v>1308</v>
      </c>
      <c r="E117" s="11" t="s">
        <v>1309</v>
      </c>
      <c r="F117" s="11" t="s">
        <v>1306</v>
      </c>
      <c r="G117" s="11" t="s">
        <v>1307</v>
      </c>
      <c r="H117" s="11" t="s">
        <v>978</v>
      </c>
      <c r="I117" s="13"/>
      <c r="J117" s="13"/>
      <c r="K117" s="11" t="s">
        <v>979</v>
      </c>
      <c r="L117" s="12" t="s">
        <v>42</v>
      </c>
      <c r="M117" s="11"/>
      <c r="N117" s="11"/>
      <c r="O117" s="11"/>
    </row>
    <row r="118" customFormat="false" ht="46.25" hidden="false" customHeight="false" outlineLevel="0" collapsed="false">
      <c r="A118" s="11"/>
      <c r="B118" s="11" t="s">
        <v>1233</v>
      </c>
      <c r="C118" s="11" t="s">
        <v>1009</v>
      </c>
      <c r="D118" s="11" t="s">
        <v>1310</v>
      </c>
      <c r="E118" s="11" t="s">
        <v>1311</v>
      </c>
      <c r="F118" s="11" t="s">
        <v>1312</v>
      </c>
      <c r="G118" s="11" t="s">
        <v>1313</v>
      </c>
      <c r="H118" s="11" t="s">
        <v>983</v>
      </c>
      <c r="I118" s="13"/>
      <c r="J118" s="13"/>
      <c r="K118" s="11" t="s">
        <v>979</v>
      </c>
      <c r="L118" s="12" t="s">
        <v>42</v>
      </c>
      <c r="M118" s="11"/>
      <c r="N118" s="11"/>
      <c r="O118" s="11"/>
    </row>
    <row r="119" customFormat="false" ht="23.85" hidden="false" customHeight="false" outlineLevel="0" collapsed="false">
      <c r="A119" s="11"/>
      <c r="B119" s="11" t="s">
        <v>1233</v>
      </c>
      <c r="C119" s="11" t="s">
        <v>1009</v>
      </c>
      <c r="D119" s="11" t="s">
        <v>1314</v>
      </c>
      <c r="E119" s="11" t="s">
        <v>1315</v>
      </c>
      <c r="F119" s="11" t="s">
        <v>1316</v>
      </c>
      <c r="G119" s="11" t="s">
        <v>1317</v>
      </c>
      <c r="H119" s="11" t="s">
        <v>978</v>
      </c>
      <c r="I119" s="13"/>
      <c r="J119" s="13"/>
      <c r="K119" s="11" t="s">
        <v>1031</v>
      </c>
      <c r="L119" s="12" t="s">
        <v>42</v>
      </c>
      <c r="M119" s="11" t="s">
        <v>1318</v>
      </c>
      <c r="N119" s="11"/>
      <c r="O119" s="11"/>
    </row>
    <row r="120" customFormat="false" ht="135.8" hidden="false" customHeight="false" outlineLevel="0" collapsed="false">
      <c r="A120" s="11"/>
      <c r="B120" s="11" t="s">
        <v>1233</v>
      </c>
      <c r="C120" s="11" t="s">
        <v>1009</v>
      </c>
      <c r="D120" s="11" t="s">
        <v>1319</v>
      </c>
      <c r="E120" s="11" t="s">
        <v>1320</v>
      </c>
      <c r="F120" s="11" t="s">
        <v>1321</v>
      </c>
      <c r="G120" s="11" t="s">
        <v>1322</v>
      </c>
      <c r="H120" s="11" t="s">
        <v>978</v>
      </c>
      <c r="I120" s="13"/>
      <c r="J120" s="13"/>
      <c r="K120" s="11" t="s">
        <v>1031</v>
      </c>
      <c r="L120" s="12" t="s">
        <v>42</v>
      </c>
      <c r="M120" s="11" t="s">
        <v>1032</v>
      </c>
      <c r="N120" s="11"/>
      <c r="O120" s="11"/>
    </row>
    <row r="121" customFormat="false" ht="102.2" hidden="false" customHeight="false" outlineLevel="0" collapsed="false">
      <c r="A121" s="11"/>
      <c r="B121" s="11" t="s">
        <v>1233</v>
      </c>
      <c r="C121" s="11" t="s">
        <v>1009</v>
      </c>
      <c r="D121" s="11" t="s">
        <v>1323</v>
      </c>
      <c r="E121" s="11" t="s">
        <v>1324</v>
      </c>
      <c r="F121" s="11" t="s">
        <v>1325</v>
      </c>
      <c r="G121" s="11" t="s">
        <v>977</v>
      </c>
      <c r="H121" s="11" t="s">
        <v>983</v>
      </c>
      <c r="I121" s="13"/>
      <c r="J121" s="13"/>
      <c r="K121" s="11" t="s">
        <v>979</v>
      </c>
      <c r="L121" s="12" t="s">
        <v>42</v>
      </c>
      <c r="M121" s="11"/>
      <c r="N121" s="11"/>
      <c r="O121" s="11"/>
    </row>
    <row r="122" customFormat="false" ht="147" hidden="false" customHeight="false" outlineLevel="0" collapsed="false">
      <c r="A122" s="11"/>
      <c r="B122" s="11" t="s">
        <v>1233</v>
      </c>
      <c r="C122" s="11" t="s">
        <v>1009</v>
      </c>
      <c r="D122" s="11" t="s">
        <v>1326</v>
      </c>
      <c r="E122" s="11" t="s">
        <v>1327</v>
      </c>
      <c r="F122" s="11" t="s">
        <v>1328</v>
      </c>
      <c r="G122" s="11" t="s">
        <v>977</v>
      </c>
      <c r="H122" s="11" t="s">
        <v>978</v>
      </c>
      <c r="I122" s="13"/>
      <c r="J122" s="13"/>
      <c r="K122" s="11" t="s">
        <v>1031</v>
      </c>
      <c r="L122" s="12" t="s">
        <v>42</v>
      </c>
      <c r="M122" s="11" t="s">
        <v>1032</v>
      </c>
      <c r="N122" s="11"/>
      <c r="O122" s="11"/>
    </row>
    <row r="123" customFormat="false" ht="102.2" hidden="false" customHeight="false" outlineLevel="0" collapsed="false">
      <c r="A123" s="11"/>
      <c r="B123" s="11" t="s">
        <v>1233</v>
      </c>
      <c r="C123" s="11" t="s">
        <v>1009</v>
      </c>
      <c r="D123" s="11" t="s">
        <v>1329</v>
      </c>
      <c r="E123" s="11" t="s">
        <v>1330</v>
      </c>
      <c r="F123" s="11" t="s">
        <v>1331</v>
      </c>
      <c r="G123" s="11" t="s">
        <v>1332</v>
      </c>
      <c r="H123" s="11" t="s">
        <v>978</v>
      </c>
      <c r="I123" s="13"/>
      <c r="J123" s="13"/>
      <c r="K123" s="11" t="s">
        <v>1031</v>
      </c>
      <c r="L123" s="12" t="s">
        <v>42</v>
      </c>
      <c r="M123" s="11" t="s">
        <v>1032</v>
      </c>
      <c r="N123" s="11"/>
      <c r="O123" s="11"/>
    </row>
    <row r="124" customFormat="false" ht="124.6" hidden="false" customHeight="false" outlineLevel="0" collapsed="false">
      <c r="A124" s="11"/>
      <c r="B124" s="11" t="s">
        <v>1233</v>
      </c>
      <c r="C124" s="11" t="s">
        <v>1009</v>
      </c>
      <c r="D124" s="11" t="s">
        <v>1333</v>
      </c>
      <c r="E124" s="11" t="s">
        <v>1334</v>
      </c>
      <c r="F124" s="11" t="s">
        <v>1335</v>
      </c>
      <c r="G124" s="11" t="s">
        <v>1336</v>
      </c>
      <c r="H124" s="11" t="s">
        <v>978</v>
      </c>
      <c r="I124" s="13"/>
      <c r="J124" s="13"/>
      <c r="K124" s="11" t="s">
        <v>1031</v>
      </c>
      <c r="L124" s="12" t="s">
        <v>42</v>
      </c>
      <c r="M124" s="11" t="s">
        <v>1032</v>
      </c>
      <c r="N124" s="11"/>
      <c r="O124" s="11"/>
    </row>
    <row r="125" customFormat="false" ht="102.2" hidden="false" customHeight="false" outlineLevel="0" collapsed="false">
      <c r="A125" s="11"/>
      <c r="B125" s="11" t="s">
        <v>1233</v>
      </c>
      <c r="C125" s="11" t="s">
        <v>1077</v>
      </c>
      <c r="D125" s="11" t="s">
        <v>1337</v>
      </c>
      <c r="E125" s="11" t="s">
        <v>1338</v>
      </c>
      <c r="F125" s="11" t="s">
        <v>1339</v>
      </c>
      <c r="G125" s="11" t="s">
        <v>1340</v>
      </c>
      <c r="H125" s="11" t="s">
        <v>978</v>
      </c>
      <c r="I125" s="13"/>
      <c r="J125" s="13"/>
      <c r="K125" s="11" t="s">
        <v>979</v>
      </c>
      <c r="L125" s="12" t="s">
        <v>42</v>
      </c>
      <c r="M125" s="11"/>
      <c r="N125" s="11"/>
      <c r="O125" s="11"/>
    </row>
    <row r="126" customFormat="false" ht="57.45" hidden="false" customHeight="false" outlineLevel="0" collapsed="false">
      <c r="A126" s="11"/>
      <c r="B126" s="11" t="s">
        <v>1233</v>
      </c>
      <c r="C126" s="11" t="s">
        <v>1077</v>
      </c>
      <c r="D126" s="11" t="s">
        <v>1341</v>
      </c>
      <c r="E126" s="11" t="s">
        <v>1342</v>
      </c>
      <c r="F126" s="11" t="s">
        <v>1343</v>
      </c>
      <c r="G126" s="11" t="s">
        <v>1344</v>
      </c>
      <c r="H126" s="11" t="s">
        <v>978</v>
      </c>
      <c r="I126" s="13"/>
      <c r="J126" s="13"/>
      <c r="K126" s="11" t="s">
        <v>979</v>
      </c>
      <c r="L126" s="12" t="s">
        <v>42</v>
      </c>
      <c r="M126" s="11"/>
      <c r="N126" s="11"/>
      <c r="O126" s="11"/>
    </row>
    <row r="127" customFormat="false" ht="169.4" hidden="false" customHeight="false" outlineLevel="0" collapsed="false">
      <c r="A127" s="11"/>
      <c r="B127" s="11" t="s">
        <v>1233</v>
      </c>
      <c r="C127" s="11" t="s">
        <v>1077</v>
      </c>
      <c r="D127" s="11" t="s">
        <v>1345</v>
      </c>
      <c r="E127" s="11" t="s">
        <v>1346</v>
      </c>
      <c r="F127" s="11" t="s">
        <v>1347</v>
      </c>
      <c r="G127" s="11" t="s">
        <v>1348</v>
      </c>
      <c r="H127" s="11" t="s">
        <v>978</v>
      </c>
      <c r="I127" s="13"/>
      <c r="J127" s="13"/>
      <c r="K127" s="11" t="s">
        <v>979</v>
      </c>
      <c r="L127" s="12" t="s">
        <v>42</v>
      </c>
      <c r="M127" s="11"/>
      <c r="N127" s="11"/>
      <c r="O127" s="11"/>
    </row>
    <row r="128" customFormat="false" ht="102.2" hidden="false" customHeight="false" outlineLevel="0" collapsed="false">
      <c r="A128" s="11"/>
      <c r="B128" s="11" t="s">
        <v>1233</v>
      </c>
      <c r="C128" s="11" t="s">
        <v>1077</v>
      </c>
      <c r="D128" s="11" t="s">
        <v>1349</v>
      </c>
      <c r="E128" s="11" t="s">
        <v>1350</v>
      </c>
      <c r="F128" s="11" t="s">
        <v>1351</v>
      </c>
      <c r="G128" s="11" t="s">
        <v>1352</v>
      </c>
      <c r="H128" s="11" t="s">
        <v>978</v>
      </c>
      <c r="I128" s="13"/>
      <c r="J128" s="13"/>
      <c r="K128" s="11" t="s">
        <v>979</v>
      </c>
      <c r="L128" s="12" t="s">
        <v>42</v>
      </c>
      <c r="M128" s="11"/>
      <c r="N128" s="11"/>
      <c r="O128" s="11"/>
    </row>
    <row r="129" customFormat="false" ht="15" hidden="false" customHeight="false" outlineLevel="0" collapsed="false">
      <c r="A129" s="11"/>
      <c r="B129" s="11" t="s">
        <v>1233</v>
      </c>
      <c r="C129" s="11" t="s">
        <v>1077</v>
      </c>
      <c r="D129" s="11" t="s">
        <v>1353</v>
      </c>
      <c r="E129" s="11" t="s">
        <v>1354</v>
      </c>
      <c r="F129" s="11" t="s">
        <v>1355</v>
      </c>
      <c r="G129" s="11" t="s">
        <v>1356</v>
      </c>
      <c r="H129" s="11" t="s">
        <v>978</v>
      </c>
      <c r="I129" s="13"/>
      <c r="J129" s="13"/>
      <c r="K129" s="11" t="s">
        <v>979</v>
      </c>
      <c r="L129" s="12" t="s">
        <v>42</v>
      </c>
      <c r="M129" s="11"/>
      <c r="N129" s="11"/>
      <c r="O129" s="11"/>
    </row>
    <row r="130" customFormat="false" ht="35.05" hidden="false" customHeight="false" outlineLevel="0" collapsed="false">
      <c r="A130" s="11"/>
      <c r="B130" s="11" t="s">
        <v>1357</v>
      </c>
      <c r="C130" s="11" t="s">
        <v>1077</v>
      </c>
      <c r="D130" s="11" t="s">
        <v>1358</v>
      </c>
      <c r="E130" s="11" t="s">
        <v>1359</v>
      </c>
      <c r="F130" s="11" t="s">
        <v>1360</v>
      </c>
      <c r="G130" s="11" t="s">
        <v>1361</v>
      </c>
      <c r="H130" s="11" t="s">
        <v>978</v>
      </c>
      <c r="I130" s="13"/>
      <c r="J130" s="13"/>
      <c r="K130" s="11" t="s">
        <v>979</v>
      </c>
      <c r="L130" s="12" t="s">
        <v>42</v>
      </c>
      <c r="M130" s="11"/>
      <c r="N130" s="11"/>
      <c r="O130" s="11"/>
    </row>
    <row r="131" customFormat="false" ht="68.65" hidden="false" customHeight="false" outlineLevel="0" collapsed="false">
      <c r="A131" s="11"/>
      <c r="B131" s="11" t="s">
        <v>1357</v>
      </c>
      <c r="C131" s="11" t="s">
        <v>1077</v>
      </c>
      <c r="D131" s="11" t="s">
        <v>1362</v>
      </c>
      <c r="E131" s="11" t="s">
        <v>1363</v>
      </c>
      <c r="F131" s="11" t="s">
        <v>1364</v>
      </c>
      <c r="G131" s="11" t="s">
        <v>1365</v>
      </c>
      <c r="H131" s="11" t="s">
        <v>978</v>
      </c>
      <c r="I131" s="13"/>
      <c r="J131" s="13"/>
      <c r="K131" s="11" t="s">
        <v>979</v>
      </c>
      <c r="L131" s="12" t="s">
        <v>42</v>
      </c>
      <c r="M131" s="11"/>
      <c r="N131" s="11"/>
      <c r="O131" s="11"/>
    </row>
    <row r="132" customFormat="false" ht="68.65" hidden="false" customHeight="false" outlineLevel="0" collapsed="false">
      <c r="A132" s="11"/>
      <c r="B132" s="11" t="s">
        <v>1357</v>
      </c>
      <c r="C132" s="11" t="s">
        <v>1077</v>
      </c>
      <c r="D132" s="11" t="s">
        <v>1366</v>
      </c>
      <c r="E132" s="11" t="s">
        <v>1367</v>
      </c>
      <c r="F132" s="11" t="s">
        <v>1368</v>
      </c>
      <c r="G132" s="11" t="s">
        <v>1369</v>
      </c>
      <c r="H132" s="11" t="s">
        <v>978</v>
      </c>
      <c r="I132" s="13"/>
      <c r="J132" s="13"/>
      <c r="K132" s="11" t="s">
        <v>979</v>
      </c>
      <c r="L132" s="12" t="s">
        <v>42</v>
      </c>
      <c r="M132" s="11"/>
      <c r="N132" s="11"/>
      <c r="O132" s="11"/>
    </row>
    <row r="133" customFormat="false" ht="35.05" hidden="false" customHeight="false" outlineLevel="0" collapsed="false">
      <c r="A133" s="11"/>
      <c r="B133" s="11" t="s">
        <v>1357</v>
      </c>
      <c r="C133" s="11" t="s">
        <v>1077</v>
      </c>
      <c r="D133" s="11" t="s">
        <v>1366</v>
      </c>
      <c r="E133" s="11" t="s">
        <v>1370</v>
      </c>
      <c r="F133" s="11" t="s">
        <v>1371</v>
      </c>
      <c r="G133" s="11" t="s">
        <v>1372</v>
      </c>
      <c r="H133" s="11" t="s">
        <v>978</v>
      </c>
      <c r="I133" s="13"/>
      <c r="J133" s="13"/>
      <c r="K133" s="11" t="s">
        <v>979</v>
      </c>
      <c r="L133" s="12" t="s">
        <v>42</v>
      </c>
      <c r="M133" s="11"/>
      <c r="N133" s="11"/>
      <c r="O133" s="11"/>
    </row>
    <row r="134" customFormat="false" ht="46.25" hidden="false" customHeight="false" outlineLevel="0" collapsed="false">
      <c r="A134" s="11"/>
      <c r="B134" s="11" t="s">
        <v>1357</v>
      </c>
      <c r="C134" s="11" t="s">
        <v>1077</v>
      </c>
      <c r="D134" s="11" t="s">
        <v>1373</v>
      </c>
      <c r="E134" s="11" t="s">
        <v>1374</v>
      </c>
      <c r="F134" s="11" t="s">
        <v>1375</v>
      </c>
      <c r="G134" s="11" t="s">
        <v>1376</v>
      </c>
      <c r="H134" s="11" t="s">
        <v>978</v>
      </c>
      <c r="I134" s="13"/>
      <c r="J134" s="13"/>
      <c r="K134" s="11" t="s">
        <v>979</v>
      </c>
      <c r="L134" s="12" t="s">
        <v>42</v>
      </c>
      <c r="M134" s="11"/>
      <c r="N134" s="11"/>
      <c r="O134" s="11"/>
    </row>
    <row r="135" customFormat="false" ht="46.25" hidden="false" customHeight="false" outlineLevel="0" collapsed="false">
      <c r="A135" s="11"/>
      <c r="B135" s="11" t="s">
        <v>1357</v>
      </c>
      <c r="C135" s="11" t="s">
        <v>1077</v>
      </c>
      <c r="D135" s="11" t="s">
        <v>1377</v>
      </c>
      <c r="E135" s="11" t="s">
        <v>1378</v>
      </c>
      <c r="F135" s="11" t="s">
        <v>1379</v>
      </c>
      <c r="G135" s="11" t="s">
        <v>1380</v>
      </c>
      <c r="H135" s="11" t="s">
        <v>978</v>
      </c>
      <c r="I135" s="13"/>
      <c r="J135" s="13"/>
      <c r="K135" s="11" t="s">
        <v>979</v>
      </c>
      <c r="L135" s="12" t="s">
        <v>42</v>
      </c>
      <c r="M135" s="11"/>
      <c r="N135" s="11"/>
      <c r="O135" s="11"/>
    </row>
    <row r="136" customFormat="false" ht="35.05" hidden="false" customHeight="false" outlineLevel="0" collapsed="false">
      <c r="A136" s="11"/>
      <c r="B136" s="11" t="s">
        <v>1357</v>
      </c>
      <c r="C136" s="11" t="s">
        <v>1077</v>
      </c>
      <c r="D136" s="11" t="s">
        <v>1381</v>
      </c>
      <c r="E136" s="11" t="s">
        <v>1382</v>
      </c>
      <c r="F136" s="11" t="s">
        <v>1383</v>
      </c>
      <c r="G136" s="11" t="s">
        <v>1384</v>
      </c>
      <c r="H136" s="11" t="s">
        <v>978</v>
      </c>
      <c r="I136" s="13"/>
      <c r="J136" s="13"/>
      <c r="K136" s="11" t="s">
        <v>979</v>
      </c>
      <c r="L136" s="12" t="s">
        <v>42</v>
      </c>
      <c r="M136" s="11"/>
      <c r="N136" s="11"/>
      <c r="O136" s="11"/>
    </row>
    <row r="137" customFormat="false" ht="35.05" hidden="false" customHeight="false" outlineLevel="0" collapsed="false">
      <c r="A137" s="11"/>
      <c r="B137" s="11" t="s">
        <v>1357</v>
      </c>
      <c r="C137" s="11" t="s">
        <v>1077</v>
      </c>
      <c r="D137" s="11" t="s">
        <v>1385</v>
      </c>
      <c r="E137" s="11" t="s">
        <v>1386</v>
      </c>
      <c r="F137" s="11" t="s">
        <v>1387</v>
      </c>
      <c r="G137" s="11" t="s">
        <v>1388</v>
      </c>
      <c r="H137" s="11" t="s">
        <v>978</v>
      </c>
      <c r="I137" s="13"/>
      <c r="J137" s="13"/>
      <c r="K137" s="11" t="s">
        <v>979</v>
      </c>
      <c r="L137" s="12" t="s">
        <v>42</v>
      </c>
      <c r="M137" s="11"/>
      <c r="N137" s="11"/>
      <c r="O137" s="11"/>
    </row>
    <row r="138" customFormat="false" ht="449.25" hidden="false" customHeight="false" outlineLevel="0" collapsed="false">
      <c r="A138" s="11"/>
      <c r="B138" s="11" t="s">
        <v>1357</v>
      </c>
      <c r="C138" s="11" t="s">
        <v>1077</v>
      </c>
      <c r="D138" s="11" t="s">
        <v>1389</v>
      </c>
      <c r="E138" s="11" t="s">
        <v>1390</v>
      </c>
      <c r="F138" s="11" t="s">
        <v>1391</v>
      </c>
      <c r="G138" s="11" t="s">
        <v>1392</v>
      </c>
      <c r="H138" s="11" t="s">
        <v>978</v>
      </c>
      <c r="I138" s="13"/>
      <c r="J138" s="13"/>
      <c r="K138" s="11" t="s">
        <v>979</v>
      </c>
      <c r="L138" s="12" t="s">
        <v>42</v>
      </c>
      <c r="M138" s="11"/>
      <c r="N138" s="11"/>
      <c r="O138" s="11"/>
    </row>
    <row r="139" customFormat="false" ht="337.3" hidden="false" customHeight="false" outlineLevel="0" collapsed="false">
      <c r="A139" s="11"/>
      <c r="B139" s="11" t="s">
        <v>1357</v>
      </c>
      <c r="C139" s="11" t="s">
        <v>1077</v>
      </c>
      <c r="D139" s="11" t="s">
        <v>1393</v>
      </c>
      <c r="E139" s="11" t="s">
        <v>1394</v>
      </c>
      <c r="F139" s="11" t="s">
        <v>1395</v>
      </c>
      <c r="G139" s="11" t="s">
        <v>1396</v>
      </c>
      <c r="H139" s="11" t="s">
        <v>978</v>
      </c>
      <c r="I139" s="13"/>
      <c r="J139" s="13"/>
      <c r="K139" s="11" t="s">
        <v>979</v>
      </c>
      <c r="L139" s="12" t="s">
        <v>42</v>
      </c>
      <c r="M139" s="11"/>
      <c r="N139" s="11"/>
      <c r="O139" s="11"/>
    </row>
    <row r="140" customFormat="false" ht="46.25" hidden="false" customHeight="false" outlineLevel="0" collapsed="false">
      <c r="A140" s="11"/>
      <c r="B140" s="11" t="s">
        <v>1357</v>
      </c>
      <c r="C140" s="11" t="s">
        <v>1077</v>
      </c>
      <c r="D140" s="11" t="s">
        <v>1397</v>
      </c>
      <c r="E140" s="11" t="s">
        <v>1398</v>
      </c>
      <c r="F140" s="11" t="s">
        <v>1399</v>
      </c>
      <c r="G140" s="11" t="s">
        <v>977</v>
      </c>
      <c r="H140" s="11" t="s">
        <v>978</v>
      </c>
      <c r="I140" s="13"/>
      <c r="J140" s="13"/>
      <c r="K140" s="11" t="s">
        <v>979</v>
      </c>
      <c r="L140" s="12" t="s">
        <v>42</v>
      </c>
      <c r="M140" s="11"/>
      <c r="N140" s="11"/>
      <c r="O140" s="11"/>
    </row>
    <row r="141" customFormat="false" ht="46.25" hidden="false" customHeight="false" outlineLevel="0" collapsed="false">
      <c r="A141" s="11"/>
      <c r="B141" s="11" t="s">
        <v>1357</v>
      </c>
      <c r="C141" s="11" t="s">
        <v>1077</v>
      </c>
      <c r="D141" s="11" t="s">
        <v>1400</v>
      </c>
      <c r="E141" s="11" t="s">
        <v>1401</v>
      </c>
      <c r="F141" s="11" t="s">
        <v>1402</v>
      </c>
      <c r="G141" s="11" t="s">
        <v>1403</v>
      </c>
      <c r="H141" s="11" t="s">
        <v>978</v>
      </c>
      <c r="I141" s="13"/>
      <c r="J141" s="13"/>
      <c r="K141" s="11" t="s">
        <v>979</v>
      </c>
      <c r="L141" s="12" t="s">
        <v>42</v>
      </c>
      <c r="M141" s="11"/>
      <c r="N141" s="11"/>
      <c r="O141" s="11"/>
    </row>
    <row r="142" customFormat="false" ht="113.4" hidden="false" customHeight="false" outlineLevel="0" collapsed="false">
      <c r="A142" s="11"/>
      <c r="B142" s="11" t="s">
        <v>1357</v>
      </c>
      <c r="C142" s="11" t="s">
        <v>1077</v>
      </c>
      <c r="D142" s="11" t="s">
        <v>1404</v>
      </c>
      <c r="E142" s="11" t="s">
        <v>1405</v>
      </c>
      <c r="F142" s="11" t="s">
        <v>1406</v>
      </c>
      <c r="G142" s="11" t="s">
        <v>1407</v>
      </c>
      <c r="H142" s="11" t="s">
        <v>978</v>
      </c>
      <c r="I142" s="13"/>
      <c r="J142" s="13"/>
      <c r="K142" s="11" t="s">
        <v>979</v>
      </c>
      <c r="L142" s="12" t="s">
        <v>42</v>
      </c>
      <c r="M142" s="11"/>
      <c r="N142" s="11"/>
      <c r="O142" s="11"/>
    </row>
    <row r="143" customFormat="false" ht="23.85" hidden="false" customHeight="false" outlineLevel="0" collapsed="false">
      <c r="A143" s="11"/>
      <c r="B143" s="11" t="s">
        <v>1357</v>
      </c>
      <c r="C143" s="11" t="s">
        <v>1077</v>
      </c>
      <c r="D143" s="11" t="s">
        <v>1408</v>
      </c>
      <c r="E143" s="11" t="s">
        <v>1409</v>
      </c>
      <c r="F143" s="11" t="s">
        <v>1410</v>
      </c>
      <c r="G143" s="11" t="s">
        <v>1340</v>
      </c>
      <c r="H143" s="11" t="s">
        <v>978</v>
      </c>
      <c r="I143" s="13"/>
      <c r="J143" s="13"/>
      <c r="K143" s="11" t="s">
        <v>979</v>
      </c>
      <c r="L143" s="12" t="s">
        <v>42</v>
      </c>
      <c r="M143" s="11"/>
      <c r="N143" s="11"/>
      <c r="O143" s="11"/>
    </row>
    <row r="144" customFormat="false" ht="23.85" hidden="false" customHeight="false" outlineLevel="0" collapsed="false">
      <c r="A144" s="11"/>
      <c r="B144" s="11" t="s">
        <v>1357</v>
      </c>
      <c r="C144" s="11" t="s">
        <v>1077</v>
      </c>
      <c r="D144" s="11" t="s">
        <v>1411</v>
      </c>
      <c r="E144" s="11" t="s">
        <v>1412</v>
      </c>
      <c r="F144" s="11" t="s">
        <v>1413</v>
      </c>
      <c r="G144" s="11" t="s">
        <v>1414</v>
      </c>
      <c r="H144" s="11" t="s">
        <v>978</v>
      </c>
      <c r="I144" s="13"/>
      <c r="J144" s="13"/>
      <c r="K144" s="11" t="s">
        <v>979</v>
      </c>
      <c r="L144" s="12" t="s">
        <v>42</v>
      </c>
      <c r="M144" s="11"/>
      <c r="N144" s="11"/>
      <c r="O144" s="11"/>
    </row>
    <row r="145" customFormat="false" ht="79.85" hidden="false" customHeight="false" outlineLevel="0" collapsed="false">
      <c r="A145" s="11"/>
      <c r="B145" s="11" t="s">
        <v>1357</v>
      </c>
      <c r="C145" s="11" t="s">
        <v>1077</v>
      </c>
      <c r="D145" s="11" t="s">
        <v>1415</v>
      </c>
      <c r="E145" s="11" t="s">
        <v>1416</v>
      </c>
      <c r="F145" s="11" t="s">
        <v>1417</v>
      </c>
      <c r="G145" s="11" t="s">
        <v>1418</v>
      </c>
      <c r="H145" s="11" t="s">
        <v>978</v>
      </c>
      <c r="I145" s="13"/>
      <c r="J145" s="13"/>
      <c r="K145" s="11" t="s">
        <v>979</v>
      </c>
      <c r="L145" s="12" t="s">
        <v>42</v>
      </c>
      <c r="M145" s="11"/>
      <c r="N145" s="11"/>
      <c r="O145" s="11"/>
    </row>
    <row r="146" customFormat="false" ht="57.45" hidden="false" customHeight="false" outlineLevel="0" collapsed="false">
      <c r="A146" s="11"/>
      <c r="B146" s="11" t="s">
        <v>1357</v>
      </c>
      <c r="C146" s="11" t="s">
        <v>1077</v>
      </c>
      <c r="D146" s="11" t="s">
        <v>1419</v>
      </c>
      <c r="E146" s="11" t="s">
        <v>1420</v>
      </c>
      <c r="F146" s="11" t="s">
        <v>1421</v>
      </c>
      <c r="G146" s="11" t="s">
        <v>1422</v>
      </c>
      <c r="H146" s="11" t="s">
        <v>978</v>
      </c>
      <c r="I146" s="13"/>
      <c r="J146" s="13"/>
      <c r="K146" s="11" t="s">
        <v>979</v>
      </c>
      <c r="L146" s="12" t="s">
        <v>42</v>
      </c>
      <c r="M146" s="11"/>
      <c r="N146" s="11"/>
      <c r="O146" s="11"/>
    </row>
    <row r="147" customFormat="false" ht="202.95" hidden="false" customHeight="false" outlineLevel="0" collapsed="false">
      <c r="A147" s="11"/>
      <c r="B147" s="11" t="s">
        <v>1357</v>
      </c>
      <c r="C147" s="11" t="s">
        <v>1077</v>
      </c>
      <c r="D147" s="11" t="s">
        <v>1423</v>
      </c>
      <c r="E147" s="11" t="s">
        <v>1424</v>
      </c>
      <c r="F147" s="11" t="s">
        <v>1421</v>
      </c>
      <c r="G147" s="11" t="s">
        <v>1422</v>
      </c>
      <c r="H147" s="11" t="s">
        <v>978</v>
      </c>
      <c r="I147" s="13"/>
      <c r="J147" s="13"/>
      <c r="K147" s="11" t="s">
        <v>979</v>
      </c>
      <c r="L147" s="12" t="s">
        <v>42</v>
      </c>
      <c r="M147" s="11"/>
      <c r="N147" s="11"/>
      <c r="O147" s="11"/>
    </row>
    <row r="148" customFormat="false" ht="35.05" hidden="false" customHeight="false" outlineLevel="0" collapsed="false">
      <c r="A148" s="11"/>
      <c r="B148" s="11" t="s">
        <v>1357</v>
      </c>
      <c r="C148" s="11" t="s">
        <v>1077</v>
      </c>
      <c r="D148" s="11" t="s">
        <v>1425</v>
      </c>
      <c r="E148" s="11" t="s">
        <v>1426</v>
      </c>
      <c r="F148" s="11" t="s">
        <v>1406</v>
      </c>
      <c r="G148" s="11" t="s">
        <v>1427</v>
      </c>
      <c r="H148" s="11" t="s">
        <v>978</v>
      </c>
      <c r="I148" s="13"/>
      <c r="J148" s="13"/>
      <c r="K148" s="11" t="s">
        <v>979</v>
      </c>
      <c r="L148" s="12" t="s">
        <v>42</v>
      </c>
      <c r="M148" s="11"/>
      <c r="N148" s="11"/>
      <c r="O148" s="11"/>
    </row>
    <row r="149" customFormat="false" ht="23.85" hidden="false" customHeight="false" outlineLevel="0" collapsed="false">
      <c r="A149" s="11"/>
      <c r="B149" s="11" t="s">
        <v>1357</v>
      </c>
      <c r="C149" s="11" t="s">
        <v>1077</v>
      </c>
      <c r="D149" s="11" t="s">
        <v>1428</v>
      </c>
      <c r="E149" s="11" t="s">
        <v>1429</v>
      </c>
      <c r="F149" s="11" t="s">
        <v>1430</v>
      </c>
      <c r="G149" s="11" t="s">
        <v>1431</v>
      </c>
      <c r="H149" s="11" t="s">
        <v>978</v>
      </c>
      <c r="I149" s="13"/>
      <c r="J149" s="13"/>
      <c r="K149" s="11" t="s">
        <v>979</v>
      </c>
      <c r="L149" s="12" t="s">
        <v>42</v>
      </c>
      <c r="M149" s="11"/>
      <c r="N149" s="11"/>
      <c r="O149" s="11"/>
    </row>
    <row r="150" customFormat="false" ht="35.05" hidden="false" customHeight="false" outlineLevel="0" collapsed="false">
      <c r="A150" s="11"/>
      <c r="B150" s="11" t="s">
        <v>1432</v>
      </c>
      <c r="C150" s="11" t="s">
        <v>1077</v>
      </c>
      <c r="D150" s="11" t="s">
        <v>1433</v>
      </c>
      <c r="E150" s="11" t="s">
        <v>1434</v>
      </c>
      <c r="F150" s="11" t="s">
        <v>1435</v>
      </c>
      <c r="G150" s="11" t="s">
        <v>1436</v>
      </c>
      <c r="H150" s="11" t="s">
        <v>1165</v>
      </c>
      <c r="I150" s="13"/>
      <c r="J150" s="13"/>
      <c r="K150" s="11" t="s">
        <v>979</v>
      </c>
      <c r="L150" s="12" t="s">
        <v>42</v>
      </c>
      <c r="M150" s="11"/>
      <c r="N150" s="11"/>
      <c r="O150" s="11"/>
    </row>
    <row r="151" customFormat="false" ht="23.85" hidden="false" customHeight="false" outlineLevel="0" collapsed="false">
      <c r="A151" s="11"/>
      <c r="B151" s="11" t="s">
        <v>1432</v>
      </c>
      <c r="C151" s="11" t="s">
        <v>1077</v>
      </c>
      <c r="D151" s="11" t="s">
        <v>1437</v>
      </c>
      <c r="E151" s="11" t="s">
        <v>1438</v>
      </c>
      <c r="F151" s="11" t="s">
        <v>1439</v>
      </c>
      <c r="G151" s="11" t="s">
        <v>1440</v>
      </c>
      <c r="H151" s="11" t="s">
        <v>978</v>
      </c>
      <c r="I151" s="13"/>
      <c r="J151" s="13"/>
      <c r="K151" s="11" t="s">
        <v>979</v>
      </c>
      <c r="L151" s="12" t="s">
        <v>42</v>
      </c>
      <c r="M151" s="11"/>
      <c r="N151" s="11"/>
      <c r="O151" s="11"/>
    </row>
    <row r="152" customFormat="false" ht="23.85" hidden="false" customHeight="false" outlineLevel="0" collapsed="false">
      <c r="A152" s="11"/>
      <c r="B152" s="11" t="s">
        <v>1432</v>
      </c>
      <c r="C152" s="11" t="s">
        <v>1077</v>
      </c>
      <c r="D152" s="11" t="s">
        <v>1441</v>
      </c>
      <c r="E152" s="11" t="s">
        <v>1442</v>
      </c>
      <c r="F152" s="11" t="s">
        <v>977</v>
      </c>
      <c r="G152" s="11" t="s">
        <v>1443</v>
      </c>
      <c r="H152" s="11" t="s">
        <v>978</v>
      </c>
      <c r="I152" s="13"/>
      <c r="J152" s="13"/>
      <c r="K152" s="11" t="s">
        <v>979</v>
      </c>
      <c r="L152" s="12" t="s">
        <v>42</v>
      </c>
      <c r="M152" s="11"/>
      <c r="N152" s="11"/>
      <c r="O152" s="11"/>
    </row>
    <row r="153" customFormat="false" ht="57.45" hidden="false" customHeight="false" outlineLevel="0" collapsed="false">
      <c r="A153" s="11"/>
      <c r="B153" s="11" t="s">
        <v>1432</v>
      </c>
      <c r="C153" s="11" t="s">
        <v>1077</v>
      </c>
      <c r="D153" s="11" t="s">
        <v>1444</v>
      </c>
      <c r="E153" s="11" t="s">
        <v>1445</v>
      </c>
      <c r="F153" s="11" t="s">
        <v>1446</v>
      </c>
      <c r="G153" s="11" t="s">
        <v>1447</v>
      </c>
      <c r="H153" s="11" t="s">
        <v>978</v>
      </c>
      <c r="I153" s="13"/>
      <c r="J153" s="13"/>
      <c r="K153" s="11" t="s">
        <v>979</v>
      </c>
      <c r="L153" s="12" t="s">
        <v>42</v>
      </c>
      <c r="M153" s="11"/>
      <c r="N153" s="11"/>
      <c r="O153" s="11"/>
    </row>
    <row r="154" customFormat="false" ht="57.45" hidden="false" customHeight="false" outlineLevel="0" collapsed="false">
      <c r="A154" s="11"/>
      <c r="B154" s="11" t="s">
        <v>1432</v>
      </c>
      <c r="C154" s="11" t="s">
        <v>1077</v>
      </c>
      <c r="D154" s="11" t="s">
        <v>1448</v>
      </c>
      <c r="E154" s="11" t="s">
        <v>1449</v>
      </c>
      <c r="F154" s="11" t="s">
        <v>1450</v>
      </c>
      <c r="G154" s="11" t="s">
        <v>1451</v>
      </c>
      <c r="H154" s="11" t="s">
        <v>978</v>
      </c>
      <c r="I154" s="13"/>
      <c r="J154" s="13"/>
      <c r="K154" s="11" t="s">
        <v>979</v>
      </c>
      <c r="L154" s="12" t="s">
        <v>42</v>
      </c>
      <c r="M154" s="11"/>
      <c r="N154" s="11"/>
      <c r="O154" s="11"/>
    </row>
    <row r="155" customFormat="false" ht="57.45" hidden="false" customHeight="false" outlineLevel="0" collapsed="false">
      <c r="A155" s="11"/>
      <c r="B155" s="11" t="s">
        <v>1432</v>
      </c>
      <c r="C155" s="11" t="s">
        <v>1077</v>
      </c>
      <c r="D155" s="11" t="s">
        <v>1448</v>
      </c>
      <c r="E155" s="11" t="s">
        <v>1452</v>
      </c>
      <c r="F155" s="11" t="s">
        <v>1453</v>
      </c>
      <c r="G155" s="11" t="s">
        <v>1454</v>
      </c>
      <c r="H155" s="11" t="s">
        <v>978</v>
      </c>
      <c r="I155" s="13"/>
      <c r="J155" s="13"/>
      <c r="K155" s="11" t="s">
        <v>979</v>
      </c>
      <c r="L155" s="12" t="s">
        <v>42</v>
      </c>
      <c r="M155" s="11"/>
      <c r="N155" s="11"/>
      <c r="O155" s="11"/>
    </row>
    <row r="156" customFormat="false" ht="46.25" hidden="false" customHeight="false" outlineLevel="0" collapsed="false">
      <c r="A156" s="11"/>
      <c r="B156" s="11" t="s">
        <v>1432</v>
      </c>
      <c r="C156" s="11" t="s">
        <v>1077</v>
      </c>
      <c r="D156" s="11" t="s">
        <v>1455</v>
      </c>
      <c r="E156" s="11" t="s">
        <v>1456</v>
      </c>
      <c r="F156" s="11" t="s">
        <v>1457</v>
      </c>
      <c r="G156" s="11" t="s">
        <v>1458</v>
      </c>
      <c r="H156" s="11" t="s">
        <v>978</v>
      </c>
      <c r="I156" s="13"/>
      <c r="J156" s="13"/>
      <c r="K156" s="11" t="s">
        <v>979</v>
      </c>
      <c r="L156" s="12" t="s">
        <v>42</v>
      </c>
      <c r="M156" s="11"/>
      <c r="N156" s="11"/>
      <c r="O156" s="11"/>
    </row>
    <row r="157" customFormat="false" ht="15" hidden="false" customHeight="false" outlineLevel="0" collapsed="false">
      <c r="A157" s="11"/>
      <c r="B157" s="11" t="s">
        <v>1432</v>
      </c>
      <c r="C157" s="11" t="s">
        <v>1077</v>
      </c>
      <c r="D157" s="11" t="s">
        <v>1459</v>
      </c>
      <c r="E157" s="11" t="s">
        <v>1460</v>
      </c>
      <c r="F157" s="11" t="s">
        <v>1461</v>
      </c>
      <c r="G157" s="11" t="s">
        <v>1462</v>
      </c>
      <c r="H157" s="11" t="s">
        <v>983</v>
      </c>
      <c r="I157" s="13"/>
      <c r="J157" s="13"/>
      <c r="K157" s="11" t="s">
        <v>979</v>
      </c>
      <c r="L157" s="12" t="s">
        <v>42</v>
      </c>
      <c r="M157" s="11"/>
      <c r="N157" s="11"/>
      <c r="O157" s="11"/>
    </row>
    <row r="158" customFormat="false" ht="23.85" hidden="false" customHeight="false" outlineLevel="0" collapsed="false">
      <c r="A158" s="11"/>
      <c r="B158" s="11" t="s">
        <v>1432</v>
      </c>
      <c r="C158" s="11" t="s">
        <v>1077</v>
      </c>
      <c r="D158" s="11" t="s">
        <v>1463</v>
      </c>
      <c r="E158" s="11" t="s">
        <v>1464</v>
      </c>
      <c r="F158" s="11" t="s">
        <v>1465</v>
      </c>
      <c r="G158" s="11" t="s">
        <v>1466</v>
      </c>
      <c r="H158" s="11" t="s">
        <v>978</v>
      </c>
      <c r="I158" s="13"/>
      <c r="J158" s="13"/>
      <c r="K158" s="11" t="s">
        <v>979</v>
      </c>
      <c r="L158" s="12" t="s">
        <v>42</v>
      </c>
      <c r="M158" s="11"/>
      <c r="N158" s="11"/>
      <c r="O158" s="11"/>
    </row>
    <row r="159" customFormat="false" ht="23.85" hidden="false" customHeight="false" outlineLevel="0" collapsed="false">
      <c r="A159" s="11"/>
      <c r="B159" s="11" t="s">
        <v>1432</v>
      </c>
      <c r="C159" s="11" t="s">
        <v>1077</v>
      </c>
      <c r="D159" s="11" t="s">
        <v>1467</v>
      </c>
      <c r="E159" s="11" t="s">
        <v>1468</v>
      </c>
      <c r="F159" s="11" t="s">
        <v>1469</v>
      </c>
      <c r="G159" s="11" t="s">
        <v>1470</v>
      </c>
      <c r="H159" s="11" t="s">
        <v>978</v>
      </c>
      <c r="I159" s="13"/>
      <c r="J159" s="13"/>
      <c r="K159" s="11" t="s">
        <v>979</v>
      </c>
      <c r="L159" s="12" t="s">
        <v>42</v>
      </c>
      <c r="M159" s="11"/>
      <c r="N159" s="11"/>
      <c r="O159" s="11"/>
    </row>
    <row r="160" customFormat="false" ht="23.85" hidden="false" customHeight="false" outlineLevel="0" collapsed="false">
      <c r="A160" s="11"/>
      <c r="B160" s="11" t="s">
        <v>1432</v>
      </c>
      <c r="C160" s="11" t="s">
        <v>1077</v>
      </c>
      <c r="D160" s="11" t="s">
        <v>1471</v>
      </c>
      <c r="E160" s="11" t="s">
        <v>1472</v>
      </c>
      <c r="F160" s="11" t="s">
        <v>1473</v>
      </c>
      <c r="G160" s="11" t="s">
        <v>1474</v>
      </c>
      <c r="H160" s="11" t="s">
        <v>1165</v>
      </c>
      <c r="I160" s="13"/>
      <c r="J160" s="13"/>
      <c r="K160" s="11" t="s">
        <v>979</v>
      </c>
      <c r="L160" s="12" t="s">
        <v>42</v>
      </c>
      <c r="M160" s="11"/>
      <c r="N160" s="11"/>
      <c r="O160" s="11"/>
    </row>
    <row r="161" customFormat="false" ht="35.05" hidden="false" customHeight="false" outlineLevel="0" collapsed="false">
      <c r="A161" s="11"/>
      <c r="B161" s="11" t="s">
        <v>1432</v>
      </c>
      <c r="C161" s="11" t="s">
        <v>1077</v>
      </c>
      <c r="D161" s="11" t="s">
        <v>1475</v>
      </c>
      <c r="E161" s="11" t="s">
        <v>1476</v>
      </c>
      <c r="F161" s="11" t="s">
        <v>1477</v>
      </c>
      <c r="G161" s="11" t="s">
        <v>1478</v>
      </c>
      <c r="H161" s="11" t="s">
        <v>1165</v>
      </c>
      <c r="I161" s="13"/>
      <c r="J161" s="13"/>
      <c r="K161" s="11" t="s">
        <v>979</v>
      </c>
      <c r="L161" s="12" t="s">
        <v>42</v>
      </c>
      <c r="M161" s="11"/>
      <c r="N161" s="11"/>
      <c r="O161" s="11"/>
    </row>
    <row r="162" customFormat="false" ht="79.85" hidden="false" customHeight="false" outlineLevel="0" collapsed="false">
      <c r="A162" s="11"/>
      <c r="B162" s="11" t="s">
        <v>1432</v>
      </c>
      <c r="C162" s="11" t="s">
        <v>1077</v>
      </c>
      <c r="D162" s="11" t="s">
        <v>1479</v>
      </c>
      <c r="E162" s="11" t="s">
        <v>1480</v>
      </c>
      <c r="F162" s="11" t="s">
        <v>1481</v>
      </c>
      <c r="G162" s="11" t="s">
        <v>1482</v>
      </c>
      <c r="H162" s="11" t="s">
        <v>1165</v>
      </c>
      <c r="I162" s="13"/>
      <c r="J162" s="13"/>
      <c r="K162" s="11" t="s">
        <v>979</v>
      </c>
      <c r="L162" s="12" t="s">
        <v>42</v>
      </c>
      <c r="M162" s="11"/>
      <c r="N162" s="11"/>
      <c r="O162" s="11"/>
    </row>
    <row r="163" customFormat="false" ht="35.05" hidden="false" customHeight="false" outlineLevel="0" collapsed="false">
      <c r="A163" s="11"/>
      <c r="B163" s="11" t="s">
        <v>1432</v>
      </c>
      <c r="C163" s="11" t="s">
        <v>1077</v>
      </c>
      <c r="D163" s="11" t="s">
        <v>1483</v>
      </c>
      <c r="E163" s="11" t="s">
        <v>1484</v>
      </c>
      <c r="F163" s="11" t="s">
        <v>1485</v>
      </c>
      <c r="G163" s="11" t="s">
        <v>1486</v>
      </c>
      <c r="H163" s="11" t="s">
        <v>978</v>
      </c>
      <c r="I163" s="13"/>
      <c r="J163" s="13"/>
      <c r="K163" s="11" t="s">
        <v>979</v>
      </c>
      <c r="L163" s="12" t="s">
        <v>42</v>
      </c>
      <c r="M163" s="11"/>
      <c r="N163" s="11"/>
      <c r="O163" s="11"/>
    </row>
    <row r="164" customFormat="false" ht="57.45" hidden="false" customHeight="false" outlineLevel="0" collapsed="false">
      <c r="A164" s="11"/>
      <c r="B164" s="11" t="s">
        <v>1432</v>
      </c>
      <c r="C164" s="11" t="s">
        <v>1077</v>
      </c>
      <c r="D164" s="11" t="s">
        <v>1487</v>
      </c>
      <c r="E164" s="11" t="s">
        <v>1488</v>
      </c>
      <c r="F164" s="11" t="s">
        <v>1489</v>
      </c>
      <c r="G164" s="11" t="s">
        <v>1490</v>
      </c>
      <c r="H164" s="11" t="s">
        <v>978</v>
      </c>
      <c r="I164" s="13"/>
      <c r="J164" s="13"/>
      <c r="K164" s="11" t="s">
        <v>979</v>
      </c>
      <c r="L164" s="12" t="s">
        <v>42</v>
      </c>
      <c r="M164" s="11"/>
      <c r="N164" s="11"/>
      <c r="O164" s="11"/>
    </row>
    <row r="165" customFormat="false" ht="35.05" hidden="false" customHeight="false" outlineLevel="0" collapsed="false">
      <c r="A165" s="11"/>
      <c r="B165" s="11" t="s">
        <v>1432</v>
      </c>
      <c r="C165" s="11" t="s">
        <v>1077</v>
      </c>
      <c r="D165" s="11" t="s">
        <v>1491</v>
      </c>
      <c r="E165" s="11" t="s">
        <v>1492</v>
      </c>
      <c r="F165" s="11" t="s">
        <v>1493</v>
      </c>
      <c r="G165" s="11" t="s">
        <v>1494</v>
      </c>
      <c r="H165" s="11" t="s">
        <v>978</v>
      </c>
      <c r="I165" s="13"/>
      <c r="J165" s="13"/>
      <c r="K165" s="11" t="s">
        <v>979</v>
      </c>
      <c r="L165" s="12" t="s">
        <v>42</v>
      </c>
      <c r="M165" s="11"/>
      <c r="N165" s="11"/>
      <c r="O165" s="11"/>
    </row>
    <row r="166" customFormat="false" ht="15" hidden="false" customHeight="false" outlineLevel="0" collapsed="false">
      <c r="A166" s="11"/>
      <c r="B166" s="11" t="s">
        <v>1432</v>
      </c>
      <c r="C166" s="11" t="s">
        <v>1077</v>
      </c>
      <c r="D166" s="11" t="s">
        <v>1495</v>
      </c>
      <c r="E166" s="11" t="s">
        <v>1496</v>
      </c>
      <c r="F166" s="11" t="s">
        <v>1497</v>
      </c>
      <c r="G166" s="11" t="s">
        <v>977</v>
      </c>
      <c r="H166" s="11" t="s">
        <v>978</v>
      </c>
      <c r="I166" s="13"/>
      <c r="J166" s="13"/>
      <c r="K166" s="11" t="s">
        <v>979</v>
      </c>
      <c r="L166" s="12" t="s">
        <v>42</v>
      </c>
      <c r="M166" s="11"/>
      <c r="N166" s="11"/>
      <c r="O166" s="11"/>
    </row>
    <row r="167" customFormat="false" ht="102.2" hidden="false" customHeight="false" outlineLevel="0" collapsed="false">
      <c r="A167" s="11"/>
      <c r="B167" s="11" t="s">
        <v>1432</v>
      </c>
      <c r="C167" s="11" t="s">
        <v>1077</v>
      </c>
      <c r="D167" s="11" t="s">
        <v>1498</v>
      </c>
      <c r="E167" s="11" t="s">
        <v>1499</v>
      </c>
      <c r="F167" s="11" t="s">
        <v>1500</v>
      </c>
      <c r="G167" s="11" t="s">
        <v>1501</v>
      </c>
      <c r="H167" s="11" t="s">
        <v>978</v>
      </c>
      <c r="I167" s="13"/>
      <c r="J167" s="13"/>
      <c r="K167" s="11" t="s">
        <v>979</v>
      </c>
      <c r="L167" s="12" t="s">
        <v>42</v>
      </c>
      <c r="M167" s="11"/>
      <c r="N167" s="11"/>
      <c r="O167" s="11"/>
    </row>
    <row r="168" customFormat="false" ht="15" hidden="false" customHeight="false" outlineLevel="0" collapsed="false">
      <c r="A168" s="11"/>
      <c r="B168" s="11" t="s">
        <v>1432</v>
      </c>
      <c r="C168" s="11" t="s">
        <v>1077</v>
      </c>
      <c r="D168" s="11" t="s">
        <v>1502</v>
      </c>
      <c r="E168" s="11" t="s">
        <v>1503</v>
      </c>
      <c r="F168" s="11" t="s">
        <v>1461</v>
      </c>
      <c r="G168" s="11" t="s">
        <v>1501</v>
      </c>
      <c r="H168" s="11" t="s">
        <v>978</v>
      </c>
      <c r="I168" s="13"/>
      <c r="J168" s="13"/>
      <c r="K168" s="11" t="s">
        <v>979</v>
      </c>
      <c r="L168" s="12" t="s">
        <v>42</v>
      </c>
      <c r="M168" s="11"/>
      <c r="N168" s="11"/>
      <c r="O168" s="11"/>
    </row>
    <row r="169" customFormat="false" ht="23.85" hidden="false" customHeight="false" outlineLevel="0" collapsed="false">
      <c r="A169" s="11"/>
      <c r="B169" s="11" t="s">
        <v>1432</v>
      </c>
      <c r="C169" s="11" t="s">
        <v>1077</v>
      </c>
      <c r="D169" s="11" t="s">
        <v>1504</v>
      </c>
      <c r="E169" s="11" t="s">
        <v>1505</v>
      </c>
      <c r="F169" s="11" t="s">
        <v>1446</v>
      </c>
      <c r="G169" s="11" t="s">
        <v>1447</v>
      </c>
      <c r="H169" s="11" t="s">
        <v>978</v>
      </c>
      <c r="I169" s="13"/>
      <c r="J169" s="13"/>
      <c r="K169" s="11" t="s">
        <v>979</v>
      </c>
      <c r="L169" s="12" t="s">
        <v>42</v>
      </c>
      <c r="M169" s="11"/>
      <c r="N169" s="11"/>
      <c r="O169" s="11"/>
    </row>
    <row r="170" customFormat="false" ht="180.55" hidden="false" customHeight="false" outlineLevel="0" collapsed="false">
      <c r="A170" s="11"/>
      <c r="B170" s="11" t="s">
        <v>1432</v>
      </c>
      <c r="C170" s="11" t="s">
        <v>1077</v>
      </c>
      <c r="D170" s="11" t="s">
        <v>1506</v>
      </c>
      <c r="E170" s="11" t="s">
        <v>1507</v>
      </c>
      <c r="F170" s="11" t="s">
        <v>1446</v>
      </c>
      <c r="G170" s="11" t="s">
        <v>1508</v>
      </c>
      <c r="H170" s="11" t="s">
        <v>978</v>
      </c>
      <c r="I170" s="13"/>
      <c r="J170" s="13"/>
      <c r="K170" s="11" t="s">
        <v>979</v>
      </c>
      <c r="L170" s="12" t="s">
        <v>42</v>
      </c>
      <c r="M170" s="11"/>
      <c r="N170" s="11"/>
      <c r="O170" s="11"/>
    </row>
    <row r="171" customFormat="false" ht="79.85" hidden="false" customHeight="false" outlineLevel="0" collapsed="false">
      <c r="A171" s="11"/>
      <c r="B171" s="11" t="s">
        <v>1432</v>
      </c>
      <c r="C171" s="11" t="s">
        <v>1077</v>
      </c>
      <c r="D171" s="11" t="s">
        <v>1509</v>
      </c>
      <c r="E171" s="11" t="s">
        <v>1510</v>
      </c>
      <c r="F171" s="11" t="s">
        <v>1511</v>
      </c>
      <c r="G171" s="11" t="s">
        <v>1512</v>
      </c>
      <c r="H171" s="11" t="s">
        <v>978</v>
      </c>
      <c r="I171" s="13"/>
      <c r="J171" s="13"/>
      <c r="K171" s="11" t="s">
        <v>979</v>
      </c>
      <c r="L171" s="12" t="s">
        <v>42</v>
      </c>
      <c r="M171" s="11"/>
      <c r="N171" s="11"/>
      <c r="O171" s="11"/>
    </row>
    <row r="172" customFormat="false" ht="15" hidden="false" customHeight="false" outlineLevel="0" collapsed="false">
      <c r="A172" s="11"/>
      <c r="B172" s="11" t="s">
        <v>1432</v>
      </c>
      <c r="C172" s="11" t="s">
        <v>1077</v>
      </c>
      <c r="D172" s="11" t="s">
        <v>1513</v>
      </c>
      <c r="E172" s="11" t="s">
        <v>1514</v>
      </c>
      <c r="F172" s="11" t="s">
        <v>1515</v>
      </c>
      <c r="G172" s="11" t="s">
        <v>1516</v>
      </c>
      <c r="H172" s="11" t="s">
        <v>978</v>
      </c>
      <c r="I172" s="13"/>
      <c r="J172" s="13"/>
      <c r="K172" s="11" t="s">
        <v>979</v>
      </c>
      <c r="L172" s="12" t="s">
        <v>42</v>
      </c>
      <c r="M172" s="11"/>
      <c r="N172" s="11"/>
      <c r="O172" s="11"/>
    </row>
    <row r="173" customFormat="false" ht="113.4" hidden="false" customHeight="false" outlineLevel="0" collapsed="false">
      <c r="A173" s="11"/>
      <c r="B173" s="11" t="s">
        <v>1432</v>
      </c>
      <c r="C173" s="11" t="s">
        <v>1077</v>
      </c>
      <c r="D173" s="11" t="s">
        <v>1517</v>
      </c>
      <c r="E173" s="11" t="s">
        <v>1518</v>
      </c>
      <c r="F173" s="11" t="s">
        <v>1497</v>
      </c>
      <c r="G173" s="11" t="s">
        <v>977</v>
      </c>
      <c r="H173" s="11" t="s">
        <v>978</v>
      </c>
      <c r="I173" s="13"/>
      <c r="J173" s="13"/>
      <c r="K173" s="11" t="s">
        <v>979</v>
      </c>
      <c r="L173" s="12" t="s">
        <v>42</v>
      </c>
      <c r="M173" s="11"/>
      <c r="N173" s="11"/>
      <c r="O173" s="11"/>
    </row>
    <row r="174" customFormat="false" ht="35.05" hidden="false" customHeight="false" outlineLevel="0" collapsed="false">
      <c r="A174" s="11"/>
      <c r="B174" s="11" t="s">
        <v>1432</v>
      </c>
      <c r="C174" s="11" t="s">
        <v>1077</v>
      </c>
      <c r="D174" s="11" t="s">
        <v>1519</v>
      </c>
      <c r="E174" s="11" t="s">
        <v>1520</v>
      </c>
      <c r="F174" s="11" t="s">
        <v>1521</v>
      </c>
      <c r="G174" s="11" t="s">
        <v>1522</v>
      </c>
      <c r="H174" s="11" t="s">
        <v>978</v>
      </c>
      <c r="I174" s="13"/>
      <c r="J174" s="13"/>
      <c r="K174" s="11" t="s">
        <v>979</v>
      </c>
      <c r="L174" s="12" t="s">
        <v>42</v>
      </c>
      <c r="M174" s="11"/>
      <c r="N174" s="11"/>
      <c r="O174" s="11"/>
    </row>
    <row r="175" customFormat="false" ht="35.05" hidden="false" customHeight="false" outlineLevel="0" collapsed="false">
      <c r="A175" s="11"/>
      <c r="B175" s="11" t="s">
        <v>1432</v>
      </c>
      <c r="C175" s="11" t="s">
        <v>1077</v>
      </c>
      <c r="D175" s="11" t="s">
        <v>1523</v>
      </c>
      <c r="E175" s="11" t="s">
        <v>1524</v>
      </c>
      <c r="F175" s="11" t="s">
        <v>1525</v>
      </c>
      <c r="G175" s="11" t="s">
        <v>977</v>
      </c>
      <c r="H175" s="11" t="s">
        <v>978</v>
      </c>
      <c r="I175" s="13"/>
      <c r="J175" s="13"/>
      <c r="K175" s="11" t="s">
        <v>979</v>
      </c>
      <c r="L175" s="12" t="s">
        <v>42</v>
      </c>
      <c r="M175" s="11"/>
      <c r="N175" s="11"/>
      <c r="O175" s="11"/>
    </row>
    <row r="176" customFormat="false" ht="225.35" hidden="false" customHeight="false" outlineLevel="0" collapsed="false">
      <c r="A176" s="11"/>
      <c r="B176" s="11" t="s">
        <v>1432</v>
      </c>
      <c r="C176" s="11" t="s">
        <v>1077</v>
      </c>
      <c r="D176" s="11" t="s">
        <v>1526</v>
      </c>
      <c r="E176" s="11" t="s">
        <v>1527</v>
      </c>
      <c r="F176" s="11" t="s">
        <v>1528</v>
      </c>
      <c r="G176" s="11" t="s">
        <v>1529</v>
      </c>
      <c r="H176" s="11" t="s">
        <v>1165</v>
      </c>
      <c r="I176" s="13"/>
      <c r="J176" s="13"/>
      <c r="K176" s="11" t="s">
        <v>979</v>
      </c>
      <c r="L176" s="12" t="s">
        <v>42</v>
      </c>
      <c r="M176" s="11"/>
      <c r="N176" s="11"/>
      <c r="O176" s="11"/>
    </row>
    <row r="177" customFormat="false" ht="180.55" hidden="false" customHeight="false" outlineLevel="0" collapsed="false">
      <c r="A177" s="11"/>
      <c r="B177" s="11" t="s">
        <v>1432</v>
      </c>
      <c r="C177" s="11" t="s">
        <v>1077</v>
      </c>
      <c r="D177" s="11" t="s">
        <v>1530</v>
      </c>
      <c r="E177" s="11" t="s">
        <v>1531</v>
      </c>
      <c r="F177" s="11" t="s">
        <v>1532</v>
      </c>
      <c r="G177" s="11" t="s">
        <v>1494</v>
      </c>
      <c r="H177" s="11" t="s">
        <v>978</v>
      </c>
      <c r="I177" s="13"/>
      <c r="J177" s="13"/>
      <c r="K177" s="11" t="s">
        <v>979</v>
      </c>
      <c r="L177" s="12" t="s">
        <v>42</v>
      </c>
      <c r="M177" s="11"/>
      <c r="N177" s="11"/>
      <c r="O177" s="11"/>
    </row>
    <row r="178" customFormat="false" ht="57.45" hidden="false" customHeight="false" outlineLevel="0" collapsed="false">
      <c r="A178" s="11"/>
      <c r="B178" s="11" t="s">
        <v>1432</v>
      </c>
      <c r="C178" s="11" t="s">
        <v>1077</v>
      </c>
      <c r="D178" s="11" t="s">
        <v>1533</v>
      </c>
      <c r="E178" s="11" t="s">
        <v>1534</v>
      </c>
      <c r="F178" s="11" t="s">
        <v>1493</v>
      </c>
      <c r="G178" s="11" t="s">
        <v>1494</v>
      </c>
      <c r="H178" s="11" t="s">
        <v>978</v>
      </c>
      <c r="I178" s="13"/>
      <c r="J178" s="13"/>
      <c r="K178" s="11" t="s">
        <v>979</v>
      </c>
      <c r="L178" s="12" t="s">
        <v>42</v>
      </c>
      <c r="M178" s="11"/>
      <c r="N178" s="11"/>
      <c r="O178" s="11"/>
    </row>
    <row r="179" customFormat="false" ht="46.25" hidden="false" customHeight="false" outlineLevel="0" collapsed="false">
      <c r="A179" s="11"/>
      <c r="B179" s="11" t="s">
        <v>1432</v>
      </c>
      <c r="C179" s="11" t="s">
        <v>1077</v>
      </c>
      <c r="D179" s="11" t="s">
        <v>1535</v>
      </c>
      <c r="E179" s="11" t="s">
        <v>1536</v>
      </c>
      <c r="F179" s="11" t="s">
        <v>1537</v>
      </c>
      <c r="G179" s="11" t="s">
        <v>1494</v>
      </c>
      <c r="H179" s="11" t="s">
        <v>978</v>
      </c>
      <c r="I179" s="13"/>
      <c r="J179" s="13"/>
      <c r="K179" s="11" t="s">
        <v>979</v>
      </c>
      <c r="L179" s="12" t="s">
        <v>42</v>
      </c>
      <c r="M179" s="11"/>
      <c r="N179" s="11"/>
      <c r="O179" s="11"/>
    </row>
    <row r="180" customFormat="false" ht="79.85" hidden="false" customHeight="false" outlineLevel="0" collapsed="false">
      <c r="A180" s="11"/>
      <c r="B180" s="11" t="s">
        <v>1432</v>
      </c>
      <c r="C180" s="11" t="s">
        <v>1077</v>
      </c>
      <c r="D180" s="11" t="s">
        <v>1538</v>
      </c>
      <c r="E180" s="11" t="s">
        <v>1539</v>
      </c>
      <c r="F180" s="11" t="s">
        <v>1540</v>
      </c>
      <c r="G180" s="11" t="s">
        <v>1340</v>
      </c>
      <c r="H180" s="11" t="s">
        <v>978</v>
      </c>
      <c r="I180" s="13"/>
      <c r="J180" s="13"/>
      <c r="K180" s="11" t="s">
        <v>979</v>
      </c>
      <c r="L180" s="12" t="s">
        <v>42</v>
      </c>
      <c r="M180" s="11"/>
      <c r="N180" s="11"/>
      <c r="O180" s="11"/>
    </row>
    <row r="181" customFormat="false" ht="79.85" hidden="false" customHeight="false" outlineLevel="0" collapsed="false">
      <c r="A181" s="11"/>
      <c r="B181" s="11" t="s">
        <v>1432</v>
      </c>
      <c r="C181" s="11" t="s">
        <v>1077</v>
      </c>
      <c r="D181" s="11" t="s">
        <v>1541</v>
      </c>
      <c r="E181" s="11" t="s">
        <v>1542</v>
      </c>
      <c r="F181" s="11" t="s">
        <v>1457</v>
      </c>
      <c r="G181" s="11" t="s">
        <v>1543</v>
      </c>
      <c r="H181" s="11" t="s">
        <v>978</v>
      </c>
      <c r="I181" s="13"/>
      <c r="J181" s="13"/>
      <c r="K181" s="11" t="s">
        <v>979</v>
      </c>
      <c r="L181" s="12" t="s">
        <v>42</v>
      </c>
      <c r="M181" s="11"/>
      <c r="N181" s="11"/>
      <c r="O181" s="11"/>
    </row>
    <row r="182" customFormat="false" ht="15" hidden="false" customHeight="false" outlineLevel="0" collapsed="false">
      <c r="A182" s="11"/>
      <c r="B182" s="11" t="s">
        <v>1432</v>
      </c>
      <c r="C182" s="11" t="s">
        <v>1077</v>
      </c>
      <c r="D182" s="11" t="s">
        <v>1544</v>
      </c>
      <c r="E182" s="11" t="s">
        <v>1545</v>
      </c>
      <c r="F182" s="11" t="s">
        <v>1546</v>
      </c>
      <c r="G182" s="11" t="s">
        <v>977</v>
      </c>
      <c r="H182" s="11" t="s">
        <v>978</v>
      </c>
      <c r="I182" s="13"/>
      <c r="J182" s="13"/>
      <c r="K182" s="11" t="s">
        <v>979</v>
      </c>
      <c r="L182" s="12" t="s">
        <v>42</v>
      </c>
      <c r="M182" s="11"/>
      <c r="N182" s="11"/>
      <c r="O182" s="11"/>
    </row>
    <row r="183" customFormat="false" ht="15" hidden="false" customHeight="false" outlineLevel="0" collapsed="false">
      <c r="A183" s="11"/>
      <c r="B183" s="11" t="s">
        <v>1432</v>
      </c>
      <c r="C183" s="11" t="s">
        <v>1077</v>
      </c>
      <c r="D183" s="11" t="s">
        <v>1547</v>
      </c>
      <c r="E183" s="11" t="s">
        <v>1548</v>
      </c>
      <c r="F183" s="11" t="s">
        <v>1549</v>
      </c>
      <c r="G183" s="11" t="s">
        <v>1550</v>
      </c>
      <c r="H183" s="11" t="s">
        <v>978</v>
      </c>
      <c r="I183" s="13"/>
      <c r="J183" s="13"/>
      <c r="K183" s="11" t="s">
        <v>979</v>
      </c>
      <c r="L183" s="12" t="s">
        <v>42</v>
      </c>
      <c r="M183" s="11"/>
      <c r="N183" s="11"/>
      <c r="O183" s="11"/>
    </row>
    <row r="184" customFormat="false" ht="23.85" hidden="false" customHeight="false" outlineLevel="0" collapsed="false">
      <c r="A184" s="11"/>
      <c r="B184" s="11" t="s">
        <v>1432</v>
      </c>
      <c r="C184" s="11" t="s">
        <v>1077</v>
      </c>
      <c r="D184" s="11" t="s">
        <v>1551</v>
      </c>
      <c r="E184" s="11" t="s">
        <v>1552</v>
      </c>
      <c r="F184" s="11" t="s">
        <v>1461</v>
      </c>
      <c r="G184" s="11" t="s">
        <v>1553</v>
      </c>
      <c r="H184" s="11" t="s">
        <v>1165</v>
      </c>
      <c r="I184" s="13"/>
      <c r="J184" s="13"/>
      <c r="K184" s="11" t="s">
        <v>979</v>
      </c>
      <c r="L184" s="12" t="s">
        <v>42</v>
      </c>
      <c r="M184" s="11"/>
      <c r="N184" s="11"/>
      <c r="O184" s="11"/>
    </row>
    <row r="185" customFormat="false" ht="102.2" hidden="false" customHeight="false" outlineLevel="0" collapsed="false">
      <c r="A185" s="11"/>
      <c r="B185" s="11" t="s">
        <v>1432</v>
      </c>
      <c r="C185" s="11" t="s">
        <v>1077</v>
      </c>
      <c r="D185" s="11" t="s">
        <v>1554</v>
      </c>
      <c r="E185" s="11" t="s">
        <v>1555</v>
      </c>
      <c r="F185" s="11" t="s">
        <v>1556</v>
      </c>
      <c r="G185" s="11" t="s">
        <v>977</v>
      </c>
      <c r="H185" s="11" t="s">
        <v>978</v>
      </c>
      <c r="I185" s="13"/>
      <c r="J185" s="13"/>
      <c r="K185" s="11" t="s">
        <v>979</v>
      </c>
      <c r="L185" s="12" t="s">
        <v>42</v>
      </c>
      <c r="M185" s="11"/>
      <c r="N185" s="11"/>
      <c r="O185" s="11"/>
    </row>
    <row r="186" customFormat="false" ht="23.85" hidden="false" customHeight="false" outlineLevel="0" collapsed="false">
      <c r="A186" s="11"/>
      <c r="B186" s="11" t="s">
        <v>1432</v>
      </c>
      <c r="C186" s="11" t="s">
        <v>1077</v>
      </c>
      <c r="D186" s="11" t="s">
        <v>1557</v>
      </c>
      <c r="E186" s="11" t="s">
        <v>1558</v>
      </c>
      <c r="F186" s="11" t="s">
        <v>1559</v>
      </c>
      <c r="G186" s="11" t="s">
        <v>977</v>
      </c>
      <c r="H186" s="11" t="s">
        <v>978</v>
      </c>
      <c r="I186" s="13"/>
      <c r="J186" s="13"/>
      <c r="K186" s="11" t="s">
        <v>979</v>
      </c>
      <c r="L186" s="12" t="s">
        <v>42</v>
      </c>
      <c r="M186" s="11"/>
      <c r="N186" s="11"/>
      <c r="O186" s="11"/>
    </row>
    <row r="187" customFormat="false" ht="23.85" hidden="false" customHeight="false" outlineLevel="0" collapsed="false">
      <c r="A187" s="11"/>
      <c r="B187" s="11" t="s">
        <v>1432</v>
      </c>
      <c r="C187" s="11" t="s">
        <v>1077</v>
      </c>
      <c r="D187" s="11" t="s">
        <v>1560</v>
      </c>
      <c r="E187" s="11" t="s">
        <v>1561</v>
      </c>
      <c r="F187" s="11" t="s">
        <v>1562</v>
      </c>
      <c r="G187" s="11" t="s">
        <v>1563</v>
      </c>
      <c r="H187" s="11" t="s">
        <v>978</v>
      </c>
      <c r="I187" s="13"/>
      <c r="J187" s="13"/>
      <c r="K187" s="11" t="s">
        <v>979</v>
      </c>
      <c r="L187" s="12" t="s">
        <v>42</v>
      </c>
      <c r="M187" s="11"/>
      <c r="N187" s="11"/>
      <c r="O187" s="11"/>
    </row>
    <row r="188" customFormat="false" ht="23.85" hidden="false" customHeight="false" outlineLevel="0" collapsed="false">
      <c r="A188" s="11"/>
      <c r="B188" s="11" t="s">
        <v>1432</v>
      </c>
      <c r="C188" s="11" t="s">
        <v>1077</v>
      </c>
      <c r="D188" s="11" t="s">
        <v>1564</v>
      </c>
      <c r="E188" s="11" t="s">
        <v>1565</v>
      </c>
      <c r="F188" s="11" t="s">
        <v>1566</v>
      </c>
      <c r="G188" s="11" t="s">
        <v>1567</v>
      </c>
      <c r="H188" s="11" t="s">
        <v>978</v>
      </c>
      <c r="I188" s="13"/>
      <c r="J188" s="13"/>
      <c r="K188" s="11" t="s">
        <v>979</v>
      </c>
      <c r="L188" s="12" t="s">
        <v>42</v>
      </c>
      <c r="M188" s="11"/>
      <c r="N188" s="11"/>
      <c r="O188" s="11"/>
    </row>
    <row r="189" customFormat="false" ht="102.2" hidden="false" customHeight="false" outlineLevel="0" collapsed="false">
      <c r="A189" s="11"/>
      <c r="B189" s="11" t="s">
        <v>1432</v>
      </c>
      <c r="C189" s="11" t="s">
        <v>1077</v>
      </c>
      <c r="D189" s="11" t="s">
        <v>1568</v>
      </c>
      <c r="E189" s="11" t="s">
        <v>977</v>
      </c>
      <c r="F189" s="11" t="s">
        <v>1461</v>
      </c>
      <c r="G189" s="11" t="s">
        <v>1569</v>
      </c>
      <c r="H189" s="11" t="s">
        <v>978</v>
      </c>
      <c r="I189" s="13"/>
      <c r="J189" s="13"/>
      <c r="K189" s="11" t="s">
        <v>979</v>
      </c>
      <c r="L189" s="12" t="s">
        <v>42</v>
      </c>
      <c r="M189" s="11"/>
      <c r="N189" s="11"/>
      <c r="O189" s="11"/>
    </row>
    <row r="190" customFormat="false" ht="113.4" hidden="false" customHeight="false" outlineLevel="0" collapsed="false">
      <c r="A190" s="11"/>
      <c r="B190" s="11" t="s">
        <v>1432</v>
      </c>
      <c r="C190" s="11" t="s">
        <v>1077</v>
      </c>
      <c r="D190" s="11" t="s">
        <v>1570</v>
      </c>
      <c r="E190" s="11" t="s">
        <v>1571</v>
      </c>
      <c r="F190" s="11" t="s">
        <v>1572</v>
      </c>
      <c r="G190" s="11" t="s">
        <v>1573</v>
      </c>
      <c r="H190" s="11" t="s">
        <v>978</v>
      </c>
      <c r="I190" s="13"/>
      <c r="J190" s="13"/>
      <c r="K190" s="11" t="s">
        <v>979</v>
      </c>
      <c r="L190" s="12" t="s">
        <v>42</v>
      </c>
      <c r="M190" s="11"/>
      <c r="N190" s="11"/>
      <c r="O190" s="11"/>
    </row>
    <row r="191" customFormat="false" ht="15" hidden="false" customHeight="false" outlineLevel="0" collapsed="false">
      <c r="A191" s="11"/>
      <c r="B191" s="11" t="s">
        <v>1432</v>
      </c>
      <c r="C191" s="11" t="s">
        <v>1077</v>
      </c>
      <c r="D191" s="11" t="s">
        <v>1574</v>
      </c>
      <c r="E191" s="11" t="s">
        <v>1461</v>
      </c>
      <c r="F191" s="11" t="s">
        <v>1549</v>
      </c>
      <c r="G191" s="11" t="s">
        <v>977</v>
      </c>
      <c r="H191" s="11" t="s">
        <v>978</v>
      </c>
      <c r="I191" s="13"/>
      <c r="J191" s="13"/>
      <c r="K191" s="11" t="s">
        <v>979</v>
      </c>
      <c r="L191" s="12" t="s">
        <v>42</v>
      </c>
      <c r="M191" s="11"/>
      <c r="N191" s="11"/>
      <c r="O191" s="11"/>
    </row>
    <row r="192" customFormat="false" ht="68.65" hidden="false" customHeight="false" outlineLevel="0" collapsed="false">
      <c r="A192" s="11"/>
      <c r="B192" s="11" t="s">
        <v>1432</v>
      </c>
      <c r="C192" s="11" t="s">
        <v>1077</v>
      </c>
      <c r="D192" s="11" t="s">
        <v>1575</v>
      </c>
      <c r="E192" s="11" t="s">
        <v>1576</v>
      </c>
      <c r="F192" s="11" t="s">
        <v>1577</v>
      </c>
      <c r="G192" s="11" t="s">
        <v>1578</v>
      </c>
      <c r="H192" s="11" t="s">
        <v>978</v>
      </c>
      <c r="I192" s="13"/>
      <c r="J192" s="13"/>
      <c r="K192" s="11" t="s">
        <v>979</v>
      </c>
      <c r="L192" s="12" t="s">
        <v>42</v>
      </c>
      <c r="M192" s="11"/>
      <c r="N192" s="11"/>
      <c r="O192" s="11"/>
    </row>
    <row r="193" customFormat="false" ht="35.05" hidden="false" customHeight="false" outlineLevel="0" collapsed="false">
      <c r="A193" s="11"/>
      <c r="B193" s="11" t="s">
        <v>1432</v>
      </c>
      <c r="C193" s="11" t="s">
        <v>1077</v>
      </c>
      <c r="D193" s="11" t="s">
        <v>1575</v>
      </c>
      <c r="E193" s="11" t="s">
        <v>1579</v>
      </c>
      <c r="F193" s="11" t="s">
        <v>1580</v>
      </c>
      <c r="G193" s="11" t="s">
        <v>1581</v>
      </c>
      <c r="H193" s="11" t="s">
        <v>978</v>
      </c>
      <c r="I193" s="13"/>
      <c r="J193" s="13"/>
      <c r="K193" s="11" t="s">
        <v>979</v>
      </c>
      <c r="L193" s="12" t="s">
        <v>42</v>
      </c>
      <c r="M193" s="11"/>
      <c r="N193" s="11"/>
      <c r="O193" s="11"/>
    </row>
    <row r="194" customFormat="false" ht="35.05" hidden="false" customHeight="false" outlineLevel="0" collapsed="false">
      <c r="A194" s="11"/>
      <c r="B194" s="11" t="s">
        <v>1432</v>
      </c>
      <c r="C194" s="11" t="s">
        <v>1077</v>
      </c>
      <c r="D194" s="11" t="s">
        <v>1582</v>
      </c>
      <c r="E194" s="11" t="s">
        <v>1583</v>
      </c>
      <c r="F194" s="11" t="s">
        <v>1584</v>
      </c>
      <c r="G194" s="11" t="s">
        <v>1585</v>
      </c>
      <c r="H194" s="11" t="s">
        <v>978</v>
      </c>
      <c r="I194" s="13"/>
      <c r="J194" s="13"/>
      <c r="K194" s="11" t="s">
        <v>979</v>
      </c>
      <c r="L194" s="12" t="s">
        <v>42</v>
      </c>
      <c r="M194" s="11"/>
      <c r="N194" s="11"/>
      <c r="O194" s="11"/>
    </row>
    <row r="195" customFormat="false" ht="35.05" hidden="false" customHeight="false" outlineLevel="0" collapsed="false">
      <c r="A195" s="11"/>
      <c r="B195" s="11" t="s">
        <v>1432</v>
      </c>
      <c r="C195" s="11" t="s">
        <v>1077</v>
      </c>
      <c r="D195" s="11" t="s">
        <v>1586</v>
      </c>
      <c r="E195" s="11" t="s">
        <v>1587</v>
      </c>
      <c r="F195" s="11" t="s">
        <v>1588</v>
      </c>
      <c r="G195" s="11" t="s">
        <v>1589</v>
      </c>
      <c r="H195" s="11" t="s">
        <v>978</v>
      </c>
      <c r="I195" s="13"/>
      <c r="J195" s="13"/>
      <c r="K195" s="11" t="s">
        <v>979</v>
      </c>
      <c r="L195" s="12" t="s">
        <v>42</v>
      </c>
      <c r="M195" s="11"/>
      <c r="N195" s="11"/>
      <c r="O195" s="11"/>
    </row>
  </sheetData>
  <autoFilter ref="A2:O195"/>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2026-09-11T09:02:02Z</dcterms:created>
  <dc:creator>openpyxl</dc:creator>
  <dc:description/>
  <dc:language>en-US</dc:language>
  <cp:lastModifiedBy/>
  <dcterms:modified xsi:type="dcterms:W3CDTF">2026-09-11T09:02:03Z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